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9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nChun/dsc3214/input/"/>
    </mc:Choice>
  </mc:AlternateContent>
  <bookViews>
    <workbookView xWindow="920" yWindow="440" windowWidth="24680" windowHeight="15560" tabRatio="500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50001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G2" i="2" l="1"/>
  <c r="G7" i="2" a="1"/>
  <c r="G7" i="2"/>
  <c r="G8" i="2" a="1"/>
  <c r="G8" i="2"/>
  <c r="G9" i="2" a="1"/>
  <c r="G9" i="2"/>
  <c r="G10" i="2" a="1"/>
  <c r="G10" i="2"/>
  <c r="G11" i="2" a="1"/>
  <c r="G11" i="2"/>
  <c r="G12" i="2" a="1"/>
  <c r="G12" i="2"/>
  <c r="G13" i="2" a="1"/>
  <c r="G13" i="2"/>
  <c r="G14" i="2" a="1"/>
  <c r="G14" i="2"/>
  <c r="G15" i="2" a="1"/>
  <c r="G15" i="2"/>
  <c r="S2" i="2"/>
  <c r="S14" i="2" a="1"/>
  <c r="S14" i="2"/>
  <c r="S15" i="2" a="1"/>
  <c r="S15" i="2"/>
  <c r="Q2" i="2"/>
  <c r="Q14" i="2" a="1"/>
  <c r="Q14" i="2"/>
  <c r="Q15" i="2" a="1"/>
  <c r="Q15" i="2"/>
  <c r="O2" i="2"/>
  <c r="O14" i="2" a="1"/>
  <c r="O14" i="2"/>
  <c r="O15" i="2" a="1"/>
  <c r="O15" i="2"/>
  <c r="M2" i="2"/>
  <c r="M7" i="2" a="1"/>
  <c r="M7" i="2"/>
  <c r="M8" i="2" a="1"/>
  <c r="M8" i="2"/>
  <c r="M9" i="2" a="1"/>
  <c r="M9" i="2"/>
  <c r="M10" i="2" a="1"/>
  <c r="M10" i="2"/>
  <c r="M11" i="2" a="1"/>
  <c r="M11" i="2"/>
  <c r="M12" i="2" a="1"/>
  <c r="M12" i="2"/>
  <c r="M13" i="2" a="1"/>
  <c r="M13" i="2"/>
  <c r="M14" i="2" a="1"/>
  <c r="M14" i="2"/>
  <c r="M15" i="2" a="1"/>
  <c r="M15" i="2"/>
  <c r="K2" i="2"/>
  <c r="K7" i="2" a="1"/>
  <c r="K7" i="2"/>
  <c r="K8" i="2" a="1"/>
  <c r="K8" i="2"/>
  <c r="K9" i="2" a="1"/>
  <c r="K9" i="2"/>
  <c r="K10" i="2" a="1"/>
  <c r="K10" i="2"/>
  <c r="K11" i="2" a="1"/>
  <c r="K11" i="2"/>
  <c r="K12" i="2" a="1"/>
  <c r="K12" i="2"/>
  <c r="K13" i="2" a="1"/>
  <c r="K13" i="2"/>
  <c r="K14" i="2" a="1"/>
  <c r="K14" i="2"/>
  <c r="K15" i="2" a="1"/>
  <c r="K15" i="2"/>
  <c r="I2" i="2"/>
  <c r="I14" i="2" a="1"/>
  <c r="I14" i="2"/>
  <c r="I15" i="2" a="1"/>
  <c r="I15" i="2"/>
  <c r="D3" i="2"/>
  <c r="D4" i="2"/>
  <c r="D5" i="2"/>
  <c r="D6" i="2"/>
  <c r="D7" i="2"/>
  <c r="D8" i="2"/>
  <c r="D9" i="2"/>
  <c r="G17" i="2"/>
  <c r="E3" i="2"/>
  <c r="E4" i="2"/>
  <c r="E5" i="2"/>
  <c r="E6" i="2"/>
  <c r="E7" i="2"/>
  <c r="E8" i="2"/>
  <c r="E9" i="2"/>
  <c r="H17" i="2"/>
  <c r="I17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5" i="2" a="1"/>
  <c r="K5" i="2"/>
  <c r="M5" i="2" a="1"/>
  <c r="M5" i="2"/>
  <c r="O5" i="2" a="1"/>
  <c r="O7" i="2" a="1"/>
  <c r="O8" i="2" a="1"/>
  <c r="O9" i="2" a="1"/>
  <c r="O10" i="2" a="1"/>
  <c r="O11" i="2" a="1"/>
  <c r="O12" i="2" a="1"/>
  <c r="O13" i="2" a="1"/>
  <c r="O5" i="2"/>
  <c r="O7" i="2"/>
  <c r="O8" i="2"/>
  <c r="O9" i="2"/>
  <c r="O10" i="2"/>
  <c r="O11" i="2"/>
  <c r="O12" i="2"/>
  <c r="O13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<sst xmlns="http://schemas.openxmlformats.org/spreadsheetml/2006/main" count="4422" uniqueCount="579">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</sst>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0" fillId="0" borderId="5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14" xfId="0" applyFont="1" applyBorder="1"/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0" fillId="8" borderId="12" xfId="0" applyFont="1" applyFill="1" applyBorder="1"/>
    <xf numFmtId="0" fontId="0" fillId="8" borderId="13" xfId="0" applyFon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377471</xdr:colOff>
      <xdr:row>16</xdr:row>
      <xdr:rowOff>49388</xdr:rowOff>
    </xdr:from>
    <xdr:to>
      <xdr:col>10</xdr:col>
      <xdr:colOff>860778</xdr:colOff>
      <xdr:row>18</xdr:row>
      <xdr:rowOff>169332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F5BA00FB-9F97-402D-B3FF-2E5634F197D4}"/>
            </a:ext>
          </a:extLst>
        </xdr:cNvPr>
        <xdr:cNvSpPr/>
      </xdr:nvSpPr>
      <xdr:spPr>
        <a:xfrm>
          <a:off x="10974915" y="3393721"/>
          <a:ext cx="1315863" cy="529167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3"/>
  </sheetPr>
  <dimension ref="A1:T32"/>
  <sheetViews>
    <sheetView tabSelected="1" zoomScale="90" zoomScaleNormal="90" zoomScalePageLayoutView="90" workbookViewId="0">
      <selection activeCell="M23" sqref="M23"/>
    </sheetView>
  </sheetViews>
  <sheetFormatPr baseColWidth="10" defaultColWidth="11" defaultRowHeight="16" x14ac:dyDescent="0.2"/>
  <cols>
    <col min="1" max="1" width="13.6640625" style="4" bestFit="1" customWidth="1"/>
    <col min="2" max="2" width="12.1640625" style="4" bestFit="1" customWidth="1"/>
    <col min="3" max="3" width="9" style="15" customWidth="1"/>
    <col min="4" max="4" width="18.33203125" style="4" bestFit="1" customWidth="1"/>
    <col min="5" max="5" width="20.33203125" style="4" bestFit="1" customWidth="1"/>
    <col min="6" max="6" width="8" style="16" customWidth="1"/>
    <col min="7" max="7" width="18.1640625" style="4" bestFit="1" customWidth="1"/>
    <col min="8" max="9" width="19.6640625" style="4" bestFit="1" customWidth="1"/>
    <col min="10" max="10" width="11" style="4"/>
    <col min="11" max="11" width="15.1640625" style="4" bestFit="1" customWidth="1"/>
    <col min="12" max="12" width="11" style="4"/>
    <col min="13" max="13" width="15.1640625" style="4" bestFit="1" customWidth="1"/>
    <col min="14" max="14" width="11" style="4"/>
    <col min="15" max="15" width="15.1640625" style="4" bestFit="1" customWidth="1"/>
    <col min="16" max="16" width="11" style="4"/>
    <col min="17" max="17" width="17.5" style="4" bestFit="1" customWidth="1"/>
    <col min="18" max="18" width="11" style="4"/>
    <col min="19" max="19" width="17.83203125" style="4" bestFit="1" customWidth="1"/>
    <col min="20" max="16384" width="11" style="4"/>
  </cols>
  <sheetData>
    <row r="1" spans="1:20" ht="17" thickBot="1" x14ac:dyDescent="0.25">
      <c r="A1" s="30" t="s">
        <v>123</v>
      </c>
      <c r="B1" s="30" t="s">
        <v>122</v>
      </c>
      <c r="C1" s="21"/>
      <c r="D1" s="34" t="s">
        <v>563</v>
      </c>
      <c r="E1" s="34" t="s">
        <v>565</v>
      </c>
      <c r="F1" s="13"/>
      <c r="G1" s="36" t="s">
        <v>564</v>
      </c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ht="17" thickBot="1" x14ac:dyDescent="0.25">
      <c r="A2" s="31"/>
      <c r="B2" s="31"/>
      <c r="C2" s="21"/>
      <c r="D2" s="35"/>
      <c r="E2" s="35"/>
      <c r="F2" s="14"/>
      <c r="G2" s="32" t="str">
        <f>B3</f>
        <v>ACC1701</v>
      </c>
      <c r="H2" s="33"/>
      <c r="I2" s="32" t="str">
        <f>B4</f>
        <v>BSP1004</v>
      </c>
      <c r="J2" s="33"/>
      <c r="K2" s="32" t="str">
        <f>B5</f>
        <v>BSP1005</v>
      </c>
      <c r="L2" s="33"/>
      <c r="M2" s="32" t="str">
        <f>B6</f>
        <v>BSP1703</v>
      </c>
      <c r="N2" s="33"/>
      <c r="O2" s="32" t="str">
        <f>B7</f>
        <v>DSC1007</v>
      </c>
      <c r="P2" s="33"/>
      <c r="Q2" s="32" t="str">
        <f>B8</f>
        <v>MKT1003</v>
      </c>
      <c r="R2" s="33"/>
      <c r="S2" s="32" t="str">
        <f>B9</f>
        <v>MNO1001</v>
      </c>
      <c r="T2" s="33"/>
    </row>
    <row r="3" spans="1:20" ht="17" thickBot="1" x14ac:dyDescent="0.25">
      <c r="A3" s="17">
        <v>1</v>
      </c>
      <c r="B3" s="42" t="s">
        <v>2</v>
      </c>
      <c r="D3" s="19">
        <f>COUNTIF(modules_sectionals!$A$1:$A$312,B3)</f>
        <v>3</v>
      </c>
      <c r="E3" s="18">
        <f>COUNT($H$4:$H$13)</f>
        <v>1</v>
      </c>
      <c r="F3" s="15"/>
      <c r="G3" s="25" t="s">
        <v>557</v>
      </c>
      <c r="H3" s="26" t="s">
        <v>559</v>
      </c>
      <c r="I3" s="25" t="s">
        <v>557</v>
      </c>
      <c r="J3" s="26" t="s">
        <v>559</v>
      </c>
      <c r="K3" s="25" t="s">
        <v>557</v>
      </c>
      <c r="L3" s="26" t="s">
        <v>559</v>
      </c>
      <c r="M3" s="25" t="s">
        <v>557</v>
      </c>
      <c r="N3" s="26" t="s">
        <v>559</v>
      </c>
      <c r="O3" s="25" t="s">
        <v>557</v>
      </c>
      <c r="P3" s="26" t="s">
        <v>559</v>
      </c>
      <c r="Q3" s="25" t="s">
        <v>557</v>
      </c>
      <c r="R3" s="26" t="s">
        <v>559</v>
      </c>
      <c r="S3" s="25" t="s">
        <v>557</v>
      </c>
      <c r="T3" s="26" t="s">
        <v>559</v>
      </c>
    </row>
    <row r="4" spans="1:20" ht="17" thickBot="1" x14ac:dyDescent="0.25">
      <c r="A4" s="17">
        <v>2</v>
      </c>
      <c r="B4" s="42" t="s">
        <v>23</v>
      </c>
      <c r="D4" s="11">
        <f>COUNTIF(modules_sectionals!$A$1:$A$312,B4)</f>
        <v>10</v>
      </c>
      <c r="E4" s="12">
        <f>COUNT($J$4:$J$13)</f>
        <v>1</v>
      </c>
      <c r="F4" s="15"/>
      <c r="G4" s="22" t="str">
        <f t="array" ref="G4">IFERROR(INDEX(modules_sectionals!$B$1:$B$353, SMALL(IF($G$2=modules_sectionals!$A$1:$A$353, ROW(modules_sectionals!$A$1:$A$353)-ROW(modules_sectionals!$A$1)+1), ROW(1:1))),"")</f>
        <v>ACC1701V1</v>
      </c>
      <c r="H4" s="23">
        <v>1</v>
      </c>
      <c r="I4" s="22" t="str">
        <f t="array" ref="I4">IFERROR(INDEX(modules_sectionals!$B$1:$B$353, SMALL(IF(I$2=modules_sectionals!$A$1:$A$353, ROW(modules_sectionals!$A$1:$A$353)-ROW(modules_sectionals!$A$1)+1), ROW(1:1))),"")</f>
        <v>BSP1004A1</v>
      </c>
      <c r="J4" s="23">
        <v>2</v>
      </c>
      <c r="K4" s="22" t="str">
        <f t="array" ref="K4">IFERROR(INDEX(modules_sectionals!$B$1:$B$353, SMALL(IF(K$2=modules_sectionals!$A$1:$A$353, ROW(modules_sectionals!$A$1:$A$353)-ROW(modules_sectionals!$A$1)+1), ROW(1:1))),"")</f>
        <v>BSP1005D1</v>
      </c>
      <c r="L4" s="23">
        <v>3</v>
      </c>
      <c r="M4" s="22" t="str">
        <f t="array" ref="M4">IFERROR(INDEX(modules_sectionals!$B$1:$B$353, SMALL(IF(M$2=modules_sectionals!$A$1:$A$353, ROW(modules_sectionals!$A$1:$A$353)-ROW(modules_sectionals!$A$1)+1), ROW(1:1))),"")</f>
        <v>BSP1703D1</v>
      </c>
      <c r="N4" s="23">
        <v>4</v>
      </c>
      <c r="O4" s="22" t="str">
        <f t="array" ref="O4">IFERROR(INDEX(modules_sectionals!$B$1:$B$353, SMALL(IF(O$2=modules_sectionals!$A$1:$A$353, ROW(modules_sectionals!$A$1:$A$353)-ROW(modules_sectionals!$A$1)+1), ROW(1:1))),"")</f>
        <v>DSC1007B1</v>
      </c>
      <c r="P4" s="23">
        <v>5</v>
      </c>
      <c r="Q4" s="22" t="str">
        <f t="array" ref="Q4">IFERROR(INDEX(modules_sectionals!$B$1:$B$353, SMALL(IF(Q$2=modules_sectionals!$A$1:$A$353, ROW(modules_sectionals!$A$1:$A$353)-ROW(modules_sectionals!$A$1)+1), ROW(1:1))),"")</f>
        <v>MKT1003AA1</v>
      </c>
      <c r="R4" s="23"/>
      <c r="S4" s="27" t="str">
        <f t="array" ref="S4">IFERROR(INDEX(modules_sectionals!$B$1:$B$353, SMALL(IF(S$2=modules_sectionals!$A$1:$A$353, ROW(modules_sectionals!$A$1:$A$353)-ROW(modules_sectionals!$A$1)+1), ROW(1:1))),"")</f>
        <v>MNO1001AA1</v>
      </c>
      <c r="T4" s="23"/>
    </row>
    <row r="5" spans="1:20" ht="17" thickBot="1" x14ac:dyDescent="0.25">
      <c r="A5" s="17">
        <v>3</v>
      </c>
      <c r="B5" s="42" t="s">
        <v>24</v>
      </c>
      <c r="D5" s="11">
        <f>COUNTIF(modules_sectionals!$A$1:$A$312,B5)</f>
        <v>3</v>
      </c>
      <c r="E5" s="12">
        <f>COUNT($L$4:$L$13)</f>
        <v>1</v>
      </c>
      <c r="F5" s="15"/>
      <c r="G5" s="6" t="str">
        <f t="array" ref="G5">IFERROR(INDEX(modules_sectionals!$B$1:$B$353, SMALL(IF($G$2=modules_sectionals!$A$1:$A$353, ROW(modules_sectionals!$A$1:$A$353)-ROW(modules_sectionals!$A$1)+1), ROW(2:2))),"")</f>
        <v>ACC1701V2</v>
      </c>
      <c r="H5" s="2"/>
      <c r="I5" s="6" t="str">
        <f t="array" ref="I5">IFERROR(INDEX(modules_sectionals!$B$1:$B$353, SMALL(IF(I$2=modules_sectionals!$A$1:$A$353, ROW(modules_sectionals!$A$1:$A$353)-ROW(modules_sectionals!$A$1)+1), ROW(2:2))),"")</f>
        <v>BSP1004A10</v>
      </c>
      <c r="J5" s="2"/>
      <c r="K5" s="6" t="str">
        <f t="array" ref="K5">IFERROR(INDEX(modules_sectionals!$B$1:$B$353, SMALL(IF(K$2=modules_sectionals!$A$1:$A$353, ROW(modules_sectionals!$A$1:$A$353)-ROW(modules_sectionals!$A$1)+1), ROW(2:2))),"")</f>
        <v>BSP1005D2</v>
      </c>
      <c r="L5" s="2"/>
      <c r="M5" s="6" t="str">
        <f t="array" ref="M5">IFERROR(INDEX(modules_sectionals!$B$1:$B$353, SMALL(IF(M$2=modules_sectionals!$A$1:$A$353, ROW(modules_sectionals!$A$1:$A$353)-ROW(modules_sectionals!$A$1)+1), ROW(2:2))),"")</f>
        <v>BSP1703D2</v>
      </c>
      <c r="N5" s="2"/>
      <c r="O5" s="6" t="str">
        <f t="array" ref="O5">IFERROR(INDEX(modules_sectionals!$B$1:$B$353, SMALL(IF(O$2=modules_sectionals!$A$1:$A$353, ROW(modules_sectionals!$A$1:$A$353)-ROW(modules_sectionals!$A$1)+1), ROW(2:2))),"")</f>
        <v>DSC1007B10</v>
      </c>
      <c r="P5" s="2"/>
      <c r="Q5" s="6" t="str">
        <f t="array" ref="Q5">IFERROR(INDEX(modules_sectionals!$B$1:$B$353, SMALL(IF(Q$2=modules_sectionals!$A$1:$A$353, ROW(modules_sectionals!$A$1:$A$353)-ROW(modules_sectionals!$A$1)+1), ROW(2:2))),"")</f>
        <v>MKT1003AA2</v>
      </c>
      <c r="R5" s="2"/>
      <c r="S5" s="10" t="str">
        <f t="array" ref="S5">IFERROR(INDEX(modules_sectionals!$B$1:$B$353, SMALL(IF(S$2=modules_sectionals!$A$1:$A$353, ROW(modules_sectionals!$A$1:$A$353)-ROW(modules_sectionals!$A$1)+1), ROW(2:2))),"")</f>
        <v>MNO1001AA2</v>
      </c>
      <c r="T5" s="2"/>
    </row>
    <row r="6" spans="1:20" ht="17" thickBot="1" x14ac:dyDescent="0.25">
      <c r="A6" s="17">
        <v>4</v>
      </c>
      <c r="B6" s="42" t="s">
        <v>26</v>
      </c>
      <c r="D6" s="11">
        <f>COUNTIF(modules_sectionals!$A$1:$A$312,B6)</f>
        <v>3</v>
      </c>
      <c r="E6" s="12">
        <f>COUNT($N$4:$N$13)</f>
        <v>1</v>
      </c>
      <c r="F6" s="15"/>
      <c r="G6" s="6" t="str">
        <f t="array" ref="G6">IFERROR(INDEX(modules_sectionals!$B$1:$B$353, SMALL(IF($G$2=modules_sectionals!$A$1:$A$353, ROW(modules_sectionals!$A$1:$A$353)-ROW(modules_sectionals!$A$1)+1), ROW(3:3))),"")</f>
        <v>ACC1701V3</v>
      </c>
      <c r="H6" s="2"/>
      <c r="I6" s="6" t="str">
        <f t="array" ref="I6">IFERROR(INDEX(modules_sectionals!$B$1:$B$353, SMALL(IF(I$2=modules_sectionals!$A$1:$A$353, ROW(modules_sectionals!$A$1:$A$353)-ROW(modules_sectionals!$A$1)+1), ROW(3:3))),"")</f>
        <v>BSP1004A2</v>
      </c>
      <c r="J6" s="2"/>
      <c r="K6" s="6" t="str">
        <f t="array" ref="K6">IFERROR(INDEX(modules_sectionals!$B$1:$B$353, SMALL(IF(K$2=modules_sectionals!$A$1:$A$353, ROW(modules_sectionals!$A$1:$A$353)-ROW(modules_sectionals!$A$1)+1), ROW(3:3))),"")</f>
        <v>BSP1005D3</v>
      </c>
      <c r="L6" s="2"/>
      <c r="M6" s="6" t="str">
        <f t="array" ref="M6">IFERROR(INDEX(modules_sectionals!$B$1:$B$353, SMALL(IF(M$2=modules_sectionals!$A$1:$A$353, ROW(modules_sectionals!$A$1:$A$353)-ROW(modules_sectionals!$A$1)+1), ROW(3:3))),"")</f>
        <v>BSP1703D3</v>
      </c>
      <c r="N6" s="2"/>
      <c r="O6" s="6" t="str">
        <f t="array" ref="O6">IFERROR(INDEX(modules_sectionals!$B$1:$B$353, SMALL(IF(O$2=modules_sectionals!$A$1:$A$353, ROW(modules_sectionals!$A$1:$A$353)-ROW(modules_sectionals!$A$1)+1), ROW(3:3))),"")</f>
        <v>DSC1007B2</v>
      </c>
      <c r="P6" s="2"/>
      <c r="Q6" s="6" t="str">
        <f t="array" ref="Q6">IFERROR(INDEX(modules_sectionals!$B$1:$B$353, SMALL(IF(Q$2=modules_sectionals!$A$1:$A$353, ROW(modules_sectionals!$A$1:$A$353)-ROW(modules_sectionals!$A$1)+1), ROW(3:3))),"")</f>
        <v>MKT1003AA3</v>
      </c>
      <c r="R6" s="2"/>
      <c r="S6" s="10" t="str">
        <f t="array" ref="S6">IFERROR(INDEX(modules_sectionals!$B$1:$B$353, SMALL(IF(S$2=modules_sectionals!$A$1:$A$353, ROW(modules_sectionals!$A$1:$A$353)-ROW(modules_sectionals!$A$1)+1), ROW(3:3))),"")</f>
        <v>MNO1001BB1</v>
      </c>
      <c r="T6" s="2"/>
    </row>
    <row r="7" spans="1:20" ht="17" thickBot="1" x14ac:dyDescent="0.25">
      <c r="A7" s="17">
        <v>5</v>
      </c>
      <c r="B7" s="42" t="s">
        <v>33</v>
      </c>
      <c r="D7" s="11">
        <f>COUNTIF(modules_sectionals!$A$1:$A$312,B7)</f>
        <v>10</v>
      </c>
      <c r="E7" s="12">
        <f>COUNT($P$4:$P$13)</f>
        <v>1</v>
      </c>
      <c r="F7" s="15"/>
      <c r="G7" s="6" t="str">
        <f t="array" ref="G7">IFERROR(INDEX(modules_sectionals!$B$1:$B$353, SMALL(IF($G$2=modules_sectionals!$A$1:$A$353, ROW(modules_sectionals!$A$1:$A$353)-ROW(modules_sectionals!$A$1)+1), ROW(4:4))),"")</f>
        <v/>
      </c>
      <c r="H7" s="2"/>
      <c r="I7" s="6" t="str">
        <f t="array" ref="I7">IFERROR(INDEX(modules_sectionals!$B$1:$B$353, SMALL(IF(I$2=modules_sectionals!$A$1:$A$353, ROW(modules_sectionals!$A$1:$A$353)-ROW(modules_sectionals!$A$1)+1), ROW(4:4))),"")</f>
        <v>BSP1004A3</v>
      </c>
      <c r="J7" s="2"/>
      <c r="K7" s="6" t="str">
        <f t="array" ref="K7">IFERROR(INDEX(modules_sectionals!$B$1:$B$353, SMALL(IF(K$2=modules_sectionals!$A$1:$A$353, ROW(modules_sectionals!$A$1:$A$353)-ROW(modules_sectionals!$A$1)+1), ROW(4:4))),"")</f>
        <v/>
      </c>
      <c r="L7" s="2"/>
      <c r="M7" s="6" t="str">
        <f t="array" ref="M7">IFERROR(INDEX(modules_sectionals!$B$1:$B$353, SMALL(IF(M$2=modules_sectionals!$A$1:$A$353, ROW(modules_sectionals!$A$1:$A$353)-ROW(modules_sectionals!$A$1)+1), ROW(4:4))),"")</f>
        <v/>
      </c>
      <c r="N7" s="2"/>
      <c r="O7" s="6" t="str">
        <f t="array" ref="O7">IFERROR(INDEX(modules_sectionals!$B$1:$B$353, SMALL(IF(O$2=modules_sectionals!$A$1:$A$353, ROW(modules_sectionals!$A$1:$A$353)-ROW(modules_sectionals!$A$1)+1), ROW(4:4))),"")</f>
        <v>DSC1007B3</v>
      </c>
      <c r="P7" s="2"/>
      <c r="Q7" s="6" t="str">
        <f t="array" ref="Q7">IFERROR(INDEX(modules_sectionals!$B$1:$B$353, SMALL(IF(Q$2=modules_sectionals!$A$1:$A$353, ROW(modules_sectionals!$A$1:$A$353)-ROW(modules_sectionals!$A$1)+1), ROW(4:4))),"")</f>
        <v>MKT1003AA4</v>
      </c>
      <c r="R7" s="2"/>
      <c r="S7" s="10" t="str">
        <f t="array" ref="S7">IFERROR(INDEX(modules_sectionals!$B$1:$B$353, SMALL(IF(S$2=modules_sectionals!$A$1:$A$353, ROW(modules_sectionals!$A$1:$A$353)-ROW(modules_sectionals!$A$1)+1), ROW(4:4))),"")</f>
        <v>MNO1001BB2</v>
      </c>
      <c r="T7" s="2"/>
    </row>
    <row r="8" spans="1:20" ht="17" thickBot="1" x14ac:dyDescent="0.25">
      <c r="A8" s="17">
        <v>6</v>
      </c>
      <c r="B8" s="42" t="s">
        <v>80</v>
      </c>
      <c r="D8" s="11">
        <f>COUNTIF(modules_sectionals!$A$1:$A$312,B8)</f>
        <v>10</v>
      </c>
      <c r="E8" s="12">
        <f>COUNT($R$4:$R$13)</f>
        <v>0</v>
      </c>
      <c r="F8" s="15"/>
      <c r="G8" s="6" t="str">
        <f t="array" ref="G8">IFERROR(INDEX(modules_sectionals!$B$1:$B$353, SMALL(IF($G$2=modules_sectionals!$A$1:$A$353, ROW(modules_sectionals!$A$1:$A$353)-ROW(modules_sectionals!$A$1)+1), ROW(5:5))),"")</f>
        <v/>
      </c>
      <c r="H8" s="2"/>
      <c r="I8" s="6" t="str">
        <f t="array" ref="I8">IFERROR(INDEX(modules_sectionals!$B$1:$B$353, SMALL(IF(I$2=modules_sectionals!$A$1:$A$353, ROW(modules_sectionals!$A$1:$A$353)-ROW(modules_sectionals!$A$1)+1), ROW(5:5))),"")</f>
        <v>BSP1004A4</v>
      </c>
      <c r="J8" s="2"/>
      <c r="K8" s="6" t="str">
        <f t="array" ref="K8">IFERROR(INDEX(modules_sectionals!$B$1:$B$353, SMALL(IF(K$2=modules_sectionals!$A$1:$A$353, ROW(modules_sectionals!$A$1:$A$353)-ROW(modules_sectionals!$A$1)+1), ROW(5:5))),"")</f>
        <v/>
      </c>
      <c r="L8" s="2"/>
      <c r="M8" s="6" t="str">
        <f t="array" ref="M8">IFERROR(INDEX(modules_sectionals!$B$1:$B$353, SMALL(IF(M$2=modules_sectionals!$A$1:$A$353, ROW(modules_sectionals!$A$1:$A$353)-ROW(modules_sectionals!$A$1)+1), ROW(5:5))),"")</f>
        <v/>
      </c>
      <c r="N8" s="2"/>
      <c r="O8" s="6" t="str">
        <f t="array" ref="O8">IFERROR(INDEX(modules_sectionals!$B$1:$B$353, SMALL(IF(O$2=modules_sectionals!$A$1:$A$353, ROW(modules_sectionals!$A$1:$A$353)-ROW(modules_sectionals!$A$1)+1), ROW(5:5))),"")</f>
        <v>DSC1007B4</v>
      </c>
      <c r="P8" s="2"/>
      <c r="Q8" s="6" t="str">
        <f t="array" ref="Q8">IFERROR(INDEX(modules_sectionals!$B$1:$B$353, SMALL(IF(Q$2=modules_sectionals!$A$1:$A$353, ROW(modules_sectionals!$A$1:$A$353)-ROW(modules_sectionals!$A$1)+1), ROW(5:5))),"")</f>
        <v>MKT1003BB1</v>
      </c>
      <c r="R8" s="2"/>
      <c r="S8" s="10" t="str">
        <f t="array" ref="S8">IFERROR(INDEX(modules_sectionals!$B$1:$B$353, SMALL(IF(S$2=modules_sectionals!$A$1:$A$353, ROW(modules_sectionals!$A$1:$A$353)-ROW(modules_sectionals!$A$1)+1), ROW(5:5))),"")</f>
        <v>MNO1001CC1</v>
      </c>
      <c r="T8" s="2"/>
    </row>
    <row r="9" spans="1:20" ht="17" thickBot="1" x14ac:dyDescent="0.25">
      <c r="A9" s="18">
        <v>7</v>
      </c>
      <c r="B9" s="43" t="s">
        <v>99</v>
      </c>
      <c r="D9" s="11">
        <f>COUNTIF(modules_sectionals!$A$1:$A$312,B9)</f>
        <v>10</v>
      </c>
      <c r="E9" s="18">
        <f>COUNT($T$4:$T$13)</f>
        <v>0</v>
      </c>
      <c r="F9" s="15"/>
      <c r="G9" s="6" t="str">
        <f t="array" ref="G9">IFERROR(INDEX(modules_sectionals!$B$1:$B$353, SMALL(IF($G$2=modules_sectionals!$A$1:$A$353, ROW(modules_sectionals!$A$1:$A$353)-ROW(modules_sectionals!$A$1)+1), ROW(6:6))),"")</f>
        <v/>
      </c>
      <c r="H9" s="2"/>
      <c r="I9" s="6" t="str">
        <f t="array" ref="I9">IFERROR(INDEX(modules_sectionals!$B$1:$B$353, SMALL(IF(I$2=modules_sectionals!$A$1:$A$353, ROW(modules_sectionals!$A$1:$A$353)-ROW(modules_sectionals!$A$1)+1), ROW(6:6))),"")</f>
        <v>BSP1004A5</v>
      </c>
      <c r="J9" s="2"/>
      <c r="K9" s="6" t="str">
        <f t="array" ref="K9">IFERROR(INDEX(modules_sectionals!$B$1:$B$353, SMALL(IF(K$2=modules_sectionals!$A$1:$A$353, ROW(modules_sectionals!$A$1:$A$353)-ROW(modules_sectionals!$A$1)+1), ROW(6:6))),"")</f>
        <v/>
      </c>
      <c r="L9" s="2"/>
      <c r="M9" s="6" t="str">
        <f t="array" ref="M9">IFERROR(INDEX(modules_sectionals!$B$1:$B$353, SMALL(IF(M$2=modules_sectionals!$A$1:$A$353, ROW(modules_sectionals!$A$1:$A$353)-ROW(modules_sectionals!$A$1)+1), ROW(6:6))),"")</f>
        <v/>
      </c>
      <c r="N9" s="2"/>
      <c r="O9" s="6" t="str">
        <f t="array" ref="O9">IFERROR(INDEX(modules_sectionals!$B$1:$B$353, SMALL(IF(O$2=modules_sectionals!$A$1:$A$353, ROW(modules_sectionals!$A$1:$A$353)-ROW(modules_sectionals!$A$1)+1), ROW(6:6))),"")</f>
        <v>DSC1007B5</v>
      </c>
      <c r="P9" s="2"/>
      <c r="Q9" s="6" t="str">
        <f t="array" ref="Q9">IFERROR(INDEX(modules_sectionals!$B$1:$B$353, SMALL(IF(Q$2=modules_sectionals!$A$1:$A$353, ROW(modules_sectionals!$A$1:$A$353)-ROW(modules_sectionals!$A$1)+1), ROW(6:6))),"")</f>
        <v>MKT1003BB2</v>
      </c>
      <c r="R9" s="2"/>
      <c r="S9" s="10" t="str">
        <f t="array" ref="S9">IFERROR(INDEX(modules_sectionals!$B$1:$B$353, SMALL(IF(S$2=modules_sectionals!$A$1:$A$353, ROW(modules_sectionals!$A$1:$A$353)-ROW(modules_sectionals!$A$1)+1), ROW(6:6))),"")</f>
        <v>MNO1001CC2</v>
      </c>
      <c r="T9" s="2"/>
    </row>
    <row r="10" spans="1:20" x14ac:dyDescent="0.2">
      <c r="E10" s="5"/>
      <c r="F10" s="15"/>
      <c r="G10" s="6" t="str">
        <f t="array" ref="G10">IFERROR(INDEX(modules_sectionals!$B$1:$B$353, SMALL(IF($G$2=modules_sectionals!$A$1:$A$353, ROW(modules_sectionals!$A$1:$A$353)-ROW(modules_sectionals!$A$1)+1), ROW(7:7))),"")</f>
        <v/>
      </c>
      <c r="H10" s="2"/>
      <c r="I10" s="6" t="str">
        <f t="array" ref="I10">IFERROR(INDEX(modules_sectionals!$B$1:$B$353, SMALL(IF(I$2=modules_sectionals!$A$1:$A$353, ROW(modules_sectionals!$A$1:$A$353)-ROW(modules_sectionals!$A$1)+1), ROW(7:7))),"")</f>
        <v>BSP1004A6</v>
      </c>
      <c r="J10" s="2"/>
      <c r="K10" s="6" t="str">
        <f t="array" ref="K10">IFERROR(INDEX(modules_sectionals!$B$1:$B$353, SMALL(IF(K$2=modules_sectionals!$A$1:$A$353, ROW(modules_sectionals!$A$1:$A$353)-ROW(modules_sectionals!$A$1)+1), ROW(7:7))),"")</f>
        <v/>
      </c>
      <c r="L10" s="2"/>
      <c r="M10" s="6" t="str">
        <f t="array" ref="M10">IFERROR(INDEX(modules_sectionals!$B$1:$B$353, SMALL(IF(M$2=modules_sectionals!$A$1:$A$353, ROW(modules_sectionals!$A$1:$A$353)-ROW(modules_sectionals!$A$1)+1), ROW(7:7))),"")</f>
        <v/>
      </c>
      <c r="N10" s="2"/>
      <c r="O10" s="6" t="str">
        <f t="array" ref="O10">IFERROR(INDEX(modules_sectionals!$B$1:$B$353, SMALL(IF(O$2=modules_sectionals!$A$1:$A$353, ROW(modules_sectionals!$A$1:$A$353)-ROW(modules_sectionals!$A$1)+1), ROW(7:7))),"")</f>
        <v>DSC1007B6</v>
      </c>
      <c r="P10" s="2"/>
      <c r="Q10" s="6" t="str">
        <f t="array" ref="Q10">IFERROR(INDEX(modules_sectionals!$B$1:$B$353, SMALL(IF(Q$2=modules_sectionals!$A$1:$A$353, ROW(modules_sectionals!$A$1:$A$353)-ROW(modules_sectionals!$A$1)+1), ROW(7:7))),"")</f>
        <v>MKT1003BB3</v>
      </c>
      <c r="R10" s="2"/>
      <c r="S10" s="10" t="str">
        <f t="array" ref="S10">IFERROR(INDEX(modules_sectionals!$B$1:$B$353, SMALL(IF(S$2=modules_sectionals!$A$1:$A$353, ROW(modules_sectionals!$A$1:$A$353)-ROW(modules_sectionals!$A$1)+1), ROW(7:7))),"")</f>
        <v>MNO1001CC3</v>
      </c>
      <c r="T10" s="2"/>
    </row>
    <row r="11" spans="1:20" ht="17" thickBot="1" x14ac:dyDescent="0.25">
      <c r="E11" s="5"/>
      <c r="F11" s="15"/>
      <c r="G11" s="6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6" t="str">
        <f t="array" ref="I11">IFERROR(INDEX(modules_sectionals!$B$1:$B$353, SMALL(IF(I$2=modules_sectionals!$A$1:$A$353, ROW(modules_sectionals!$A$1:$A$353)-ROW(modules_sectionals!$A$1)+1), ROW(8:8))),"")</f>
        <v>BSP1004A7</v>
      </c>
      <c r="J11" s="2"/>
      <c r="K11" s="6" t="str">
        <f t="array" ref="K11">IFERROR(INDEX(modules_sectionals!$B$1:$B$353, SMALL(IF(K$2=modules_sectionals!$A$1:$A$353, ROW(modules_sectionals!$A$1:$A$353)-ROW(modules_sectionals!$A$1)+1), ROW(8:8))),"")</f>
        <v/>
      </c>
      <c r="L11" s="2"/>
      <c r="M11" s="6" t="str">
        <f t="array" ref="M11">IFERROR(INDEX(modules_sectionals!$B$1:$B$353, SMALL(IF(M$2=modules_sectionals!$A$1:$A$353, ROW(modules_sectionals!$A$1:$A$353)-ROW(modules_sectionals!$A$1)+1), ROW(8:8))),"")</f>
        <v/>
      </c>
      <c r="N11" s="2"/>
      <c r="O11" s="6" t="str">
        <f t="array" ref="O11">IFERROR(INDEX(modules_sectionals!$B$1:$B$353, SMALL(IF(O$2=modules_sectionals!$A$1:$A$353, ROW(modules_sectionals!$A$1:$A$353)-ROW(modules_sectionals!$A$1)+1), ROW(8:8))),"")</f>
        <v>DSC1007B7</v>
      </c>
      <c r="P11" s="2"/>
      <c r="Q11" s="6" t="str">
        <f t="array" ref="Q11">IFERROR(INDEX(modules_sectionals!$B$1:$B$353, SMALL(IF(Q$2=modules_sectionals!$A$1:$A$353, ROW(modules_sectionals!$A$1:$A$353)-ROW(modules_sectionals!$A$1)+1), ROW(8:8))),"")</f>
        <v>MKT1003CC1</v>
      </c>
      <c r="R11" s="2"/>
      <c r="S11" s="10" t="str">
        <f t="array" ref="S11">IFERROR(INDEX(modules_sectionals!$B$1:$B$353, SMALL(IF(S$2=modules_sectionals!$A$1:$A$353, ROW(modules_sectionals!$A$1:$A$353)-ROW(modules_sectionals!$A$1)+1), ROW(8:8))),"")</f>
        <v>MNO1001CC4</v>
      </c>
      <c r="T11" s="2"/>
    </row>
    <row r="12" spans="1:20" x14ac:dyDescent="0.2">
      <c r="A12" s="28" t="s">
        <v>121</v>
      </c>
      <c r="B12" s="28" t="s">
        <v>122</v>
      </c>
      <c r="C12" s="14"/>
      <c r="D12" s="40" t="s">
        <v>569</v>
      </c>
      <c r="E12" s="38" t="s">
        <v>570</v>
      </c>
      <c r="G12" s="6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6" t="str">
        <f t="array" ref="I12">IFERROR(INDEX(modules_sectionals!$B$1:$B$353, SMALL(IF(I$2=modules_sectionals!$A$1:$A$353, ROW(modules_sectionals!$A$1:$A$353)-ROW(modules_sectionals!$A$1)+1), ROW(9:9))),"")</f>
        <v>BSP1004A8</v>
      </c>
      <c r="J12" s="2"/>
      <c r="K12" s="6" t="str">
        <f t="array" ref="K12">IFERROR(INDEX(modules_sectionals!$B$1:$B$353, SMALL(IF(K$2=modules_sectionals!$A$1:$A$353, ROW(modules_sectionals!$A$1:$A$353)-ROW(modules_sectionals!$A$1)+1), ROW(9:9))),"")</f>
        <v/>
      </c>
      <c r="L12" s="2"/>
      <c r="M12" s="6" t="str">
        <f t="array" ref="M12">IFERROR(INDEX(modules_sectionals!$B$1:$B$353, SMALL(IF(M$2=modules_sectionals!$A$1:$A$353, ROW(modules_sectionals!$A$1:$A$353)-ROW(modules_sectionals!$A$1)+1), ROW(9:9))),"")</f>
        <v/>
      </c>
      <c r="N12" s="2"/>
      <c r="O12" s="6" t="str">
        <f t="array" ref="O12">IFERROR(INDEX(modules_sectionals!$B$1:$B$353, SMALL(IF(O$2=modules_sectionals!$A$1:$A$353, ROW(modules_sectionals!$A$1:$A$353)-ROW(modules_sectionals!$A$1)+1), ROW(9:9))),"")</f>
        <v>DSC1007B8</v>
      </c>
      <c r="P12" s="2"/>
      <c r="Q12" s="6" t="str">
        <f t="array" ref="Q12">IFERROR(INDEX(modules_sectionals!$B$1:$B$353, SMALL(IF(Q$2=modules_sectionals!$A$1:$A$353, ROW(modules_sectionals!$A$1:$A$353)-ROW(modules_sectionals!$A$1)+1), ROW(9:9))),"")</f>
        <v>MKT1003CC2</v>
      </c>
      <c r="R12" s="2"/>
      <c r="S12" s="10" t="str">
        <f t="array" ref="S12">IFERROR(INDEX(modules_sectionals!$B$1:$B$353, SMALL(IF(S$2=modules_sectionals!$A$1:$A$353, ROW(modules_sectionals!$A$1:$A$353)-ROW(modules_sectionals!$A$1)+1), ROW(9:9))),"")</f>
        <v>MNO1001DD1</v>
      </c>
      <c r="T12" s="2"/>
    </row>
    <row r="13" spans="1:20" ht="17" thickBot="1" x14ac:dyDescent="0.25">
      <c r="A13" s="29"/>
      <c r="B13" s="29"/>
      <c r="C13" s="14"/>
      <c r="D13" s="41"/>
      <c r="E13" s="39"/>
      <c r="G13" s="6" t="str">
        <f t="array" ref="G13">IFERROR(INDEX(modules_sectionals!$B$1:$B$353, SMALL(IF($G$2=modules_sectionals!$A$1:$A$353, ROW(modules_sectionals!$A$1:$A$353)-ROW(modules_sectionals!$A$1)+1), ROW(10:10))),"")</f>
        <v/>
      </c>
      <c r="H13" s="2"/>
      <c r="I13" s="6" t="str">
        <f t="array" ref="I13">IFERROR(INDEX(modules_sectionals!$B$1:$B$353, SMALL(IF(I$2=modules_sectionals!$A$1:$A$353, ROW(modules_sectionals!$A$1:$A$353)-ROW(modules_sectionals!$A$1)+1), ROW(10:10))),"")</f>
        <v>BSP1004A9</v>
      </c>
      <c r="J13" s="2"/>
      <c r="K13" s="6" t="str">
        <f t="array" ref="K13">IFERROR(INDEX(modules_sectionals!$B$1:$B$353, SMALL(IF(K$2=modules_sectionals!$A$1:$A$353, ROW(modules_sectionals!$A$1:$A$353)-ROW(modules_sectionals!$A$1)+1), ROW(10:10))),"")</f>
        <v/>
      </c>
      <c r="L13" s="2"/>
      <c r="M13" s="6" t="str">
        <f t="array" ref="M13">IFERROR(INDEX(modules_sectionals!$B$1:$B$353, SMALL(IF(M$2=modules_sectionals!$A$1:$A$353, ROW(modules_sectionals!$A$1:$A$353)-ROW(modules_sectionals!$A$1)+1), ROW(10:10))),"")</f>
        <v/>
      </c>
      <c r="N13" s="2"/>
      <c r="O13" s="6" t="str">
        <f t="array" ref="O13">IFERROR(INDEX(modules_sectionals!$B$1:$B$353, SMALL(IF(O$2=modules_sectionals!$A$1:$A$353, ROW(modules_sectionals!$A$1:$A$353)-ROW(modules_sectionals!$A$1)+1), ROW(10:10))),"")</f>
        <v>DSC1007B9</v>
      </c>
      <c r="P13" s="2"/>
      <c r="Q13" s="6" t="str">
        <f t="array" ref="Q13">IFERROR(INDEX(modules_sectionals!$B$1:$B$353, SMALL(IF(Q$2=modules_sectionals!$A$1:$A$353, ROW(modules_sectionals!$A$1:$A$353)-ROW(modules_sectionals!$A$1)+1), ROW(10:10))),"")</f>
        <v>MKT1003DD1</v>
      </c>
      <c r="R13" s="2"/>
      <c r="S13" s="10" t="str">
        <f t="array" ref="S13">IFERROR(INDEX(modules_sectionals!$B$1:$B$353, SMALL(IF(S$2=modules_sectionals!$A$1:$A$353, ROW(modules_sectionals!$A$1:$A$353)-ROW(modules_sectionals!$A$1)+1), ROW(10:10))),"")</f>
        <v>MNO1001DD2</v>
      </c>
      <c r="T13" s="2"/>
    </row>
    <row r="14" spans="1:20" x14ac:dyDescent="0.2">
      <c r="A14" s="17">
        <v>1</v>
      </c>
      <c r="B14" s="17" t="s">
        <v>0</v>
      </c>
      <c r="D14" s="17" t="s">
        <v>571</v>
      </c>
      <c r="E14" s="7">
        <v>2</v>
      </c>
      <c r="F14" s="15"/>
      <c r="G14" s="6" t="str">
        <f t="array" ref="G14">IFERROR(INDEX(modules_sectionals!$B$1:$B$353, SMALL(IF($G$2=modules_sectionals!$A$1:$A$353, ROW(modules_sectionals!$A$1:$A$353)-ROW(modules_sectionals!$A$1)+1), ROW(11:11))),"")</f>
        <v/>
      </c>
      <c r="H14" s="7"/>
      <c r="I14" s="6" t="str">
        <f t="array" ref="I14">IFERROR(INDEX(modules_sectionals!$B$1:$B$353, SMALL(IF(I$2=modules_sectionals!$A$1:$A$353, ROW(modules_sectionals!$A$1:$A$353)-ROW(modules_sectionals!$A$1)+1), ROW(11:11))),"")</f>
        <v/>
      </c>
      <c r="J14" s="7"/>
      <c r="K14" s="6" t="str">
        <f t="array" ref="K14">IFERROR(INDEX(modules_sectionals!$B$1:$B$353, SMALL(IF(K$2=modules_sectionals!$A$1:$A$353, ROW(modules_sectionals!$A$1:$A$353)-ROW(modules_sectionals!$A$1)+1), ROW(11:11))),"")</f>
        <v/>
      </c>
      <c r="L14" s="7"/>
      <c r="M14" s="6" t="str">
        <f t="array" ref="M14">IFERROR(INDEX(modules_sectionals!$B$1:$B$353, SMALL(IF(M$2=modules_sectionals!$A$1:$A$353, ROW(modules_sectionals!$A$1:$A$353)-ROW(modules_sectionals!$A$1)+1), ROW(11:11))),"")</f>
        <v/>
      </c>
      <c r="N14" s="7"/>
      <c r="O14" s="6" t="str">
        <f t="array" ref="O14">IFERROR(INDEX(modules_sectionals!$B$1:$B$353, SMALL(IF(O$2=modules_sectionals!$A$1:$A$353, ROW(modules_sectionals!$A$1:$A$353)-ROW(modules_sectionals!$A$1)+1), ROW(11:11))),"")</f>
        <v/>
      </c>
      <c r="P14" s="7"/>
      <c r="Q14" s="6" t="str">
        <f t="array" ref="Q14">IFERROR(INDEX(modules_sectionals!$B$1:$B$353, SMALL(IF(Q$2=modules_sectionals!$A$1:$A$353, ROW(modules_sectionals!$A$1:$A$353)-ROW(modules_sectionals!$A$1)+1), ROW(11:11))),"")</f>
        <v/>
      </c>
      <c r="R14" s="7"/>
      <c r="S14" s="10" t="str">
        <f t="array" ref="S14">IFERROR(INDEX(modules_sectionals!$B$1:$B$353, SMALL(IF(S$2=modules_sectionals!$A$1:$A$353, ROW(modules_sectionals!$A$1:$A$353)-ROW(modules_sectionals!$A$1)+1), ROW(11:11))),"")</f>
        <v/>
      </c>
      <c r="T14" s="7"/>
    </row>
    <row r="15" spans="1:20" ht="17" thickBot="1" x14ac:dyDescent="0.25">
      <c r="A15" s="17">
        <v>2</v>
      </c>
      <c r="B15" s="17" t="s">
        <v>1</v>
      </c>
      <c r="D15" s="17" t="s">
        <v>572</v>
      </c>
      <c r="E15" s="7">
        <v>3</v>
      </c>
      <c r="F15" s="15"/>
      <c r="G15" s="8" t="str">
        <f t="array" ref="G15">IFERROR(INDEX(modules_sectionals!$B$1:$B$353, SMALL(IF($G$2=modules_sectionals!$A$1:$A$353, ROW(modules_sectionals!$A$1:$A$353)-ROW(modules_sectionals!$A$1)+1), ROW(12:12))),"")</f>
        <v/>
      </c>
      <c r="H15" s="9"/>
      <c r="I15" s="8" t="str">
        <f t="array" ref="I15">IFERROR(INDEX(modules_sectionals!$B$1:$B$353, SMALL(IF(I$2=modules_sectionals!$A$1:$A$353, ROW(modules_sectionals!$A$1:$A$353)-ROW(modules_sectionals!$A$1)+1), ROW(12:12))),"")</f>
        <v/>
      </c>
      <c r="J15" s="9"/>
      <c r="K15" s="8" t="str">
        <f t="array" ref="K15">IFERROR(INDEX(modules_sectionals!$B$1:$B$353, SMALL(IF(K$2=modules_sectionals!$A$1:$A$353, ROW(modules_sectionals!$A$1:$A$353)-ROW(modules_sectionals!$A$1)+1), ROW(12:12))),"")</f>
        <v/>
      </c>
      <c r="L15" s="9"/>
      <c r="M15" s="8" t="str">
        <f t="array" ref="M15">IFERROR(INDEX(modules_sectionals!$B$1:$B$353, SMALL(IF(M$2=modules_sectionals!$A$1:$A$353, ROW(modules_sectionals!$A$1:$A$353)-ROW(modules_sectionals!$A$1)+1), ROW(12:12))),"")</f>
        <v/>
      </c>
      <c r="N15" s="9"/>
      <c r="O15" s="8" t="str">
        <f t="array" ref="O15">IFERROR(INDEX(modules_sectionals!$B$1:$B$353, SMALL(IF(O$2=modules_sectionals!$A$1:$A$353, ROW(modules_sectionals!$A$1:$A$353)-ROW(modules_sectionals!$A$1)+1), ROW(12:12))),"")</f>
        <v/>
      </c>
      <c r="P15" s="9"/>
      <c r="Q15" s="8" t="str">
        <f t="array" ref="Q15">IFERROR(INDEX(modules_sectionals!$B$1:$B$353, SMALL(IF(Q$2=modules_sectionals!$A$1:$A$353, ROW(modules_sectionals!$A$1:$A$353)-ROW(modules_sectionals!$A$1)+1), ROW(12:12))),"")</f>
        <v/>
      </c>
      <c r="R15" s="9"/>
      <c r="S15" s="24" t="str">
        <f t="array" ref="S15">IFERROR(INDEX(modules_sectionals!$B$1:$B$353, SMALL(IF(S$2=modules_sectionals!$A$1:$A$353, ROW(modules_sectionals!$A$1:$A$353)-ROW(modules_sectionals!$A$1)+1), ROW(12:12))),"")</f>
        <v/>
      </c>
      <c r="T15" s="9"/>
    </row>
    <row r="16" spans="1:20" ht="17" thickBot="1" x14ac:dyDescent="0.25">
      <c r="A16" s="17">
        <v>3</v>
      </c>
      <c r="B16" s="17" t="s">
        <v>2</v>
      </c>
      <c r="D16" s="18" t="s">
        <v>573</v>
      </c>
      <c r="E16" s="9">
        <v>1</v>
      </c>
      <c r="F16" s="15"/>
      <c r="G16" s="19" t="s">
        <v>568</v>
      </c>
      <c r="H16" s="20" t="s">
        <v>566</v>
      </c>
      <c r="I16" s="19" t="s">
        <v>567</v>
      </c>
      <c r="J16" s="5"/>
      <c r="K16" s="10" t="str">
        <f t="array" ref="K16">IFERROR(INDEX(modules_sectionals!$B$1:$B$312, SMALL(IF(K$2=modules_sectionals!$A$1:$A$312, ROW(modules_sectionals!$A$1:$A$312)-ROW(modules_sectionals!$A$1)+1), ROW(14:14))),"")</f>
        <v/>
      </c>
      <c r="L16" s="5"/>
      <c r="M16" s="10" t="str">
        <f t="array" ref="M16">IFERROR(INDEX(modules_sectionals!$B$1:$B$353, SMALL(IF(M$2=modules_sectionals!$A$1:$A$353, ROW(modules_sectionals!$A$1:$A$353)-ROW(modules_sectionals!$A$1)+1), ROW(14:14))),"")</f>
        <v/>
      </c>
      <c r="N16" s="5"/>
      <c r="O16" s="10" t="str">
        <f t="array" ref="O16">IFERROR(INDEX(modules_sectionals!$B$1:$B$353, SMALL(IF(O$2=modules_sectionals!$A$1:$A$353, ROW(modules_sectionals!$A$1:$A$353)-ROW(modules_sectionals!$A$1)+1), ROW(14:14))),"")</f>
        <v/>
      </c>
      <c r="P16" s="5"/>
      <c r="Q16" s="10" t="str">
        <f t="array" ref="Q16">IFERROR(INDEX(modules_sectionals!$B$1:$B$353, SMALL(IF(Q$2=modules_sectionals!$A$1:$A$353, ROW(modules_sectionals!$A$1:$A$353)-ROW(modules_sectionals!$A$1)+1), ROW(14:14))),"")</f>
        <v/>
      </c>
      <c r="R16" s="5"/>
      <c r="S16" s="10" t="str">
        <f t="array" ref="S16">IFERROR(INDEX(modules_sectionals!$B$1:$B$312, SMALL(IF(S$2=modules_sectionals!$A$1:$A$312, ROW(modules_sectionals!$A$1:$A$312)-ROW(modules_sectionals!$A$1)+1), ROW(14:14))),"")</f>
        <v/>
      </c>
      <c r="T16" s="5"/>
    </row>
    <row r="17" spans="1:20" ht="17" thickBot="1" x14ac:dyDescent="0.25">
      <c r="A17" s="17">
        <v>4</v>
      </c>
      <c r="B17" s="17" t="s">
        <v>3</v>
      </c>
      <c r="E17" s="5"/>
      <c r="F17" s="15"/>
      <c r="G17" s="19">
        <f>SUM(D3:D9)</f>
        <v>49</v>
      </c>
      <c r="H17" s="20">
        <f>SUM(E3:E9)</f>
        <v>5</v>
      </c>
      <c r="I17" s="19">
        <f>G17-H17</f>
        <v>44</v>
      </c>
      <c r="J17" s="5"/>
      <c r="K17" s="10" t="str">
        <f t="array" ref="K17">IFERROR(INDEX(modules_sectionals!$B$1:$B$312, SMALL(IF(K$2=modules_sectionals!$A$1:$A$312, ROW(modules_sectionals!$A$1:$A$312)-ROW(modules_sectionals!$A$1)+1), ROW(15:15))),"")</f>
        <v/>
      </c>
      <c r="L17" s="5"/>
      <c r="M17" s="10" t="str">
        <f t="array" ref="M17">IFERROR(INDEX(modules_sectionals!$B$1:$B$353, SMALL(IF(M$2=modules_sectionals!$A$1:$A$353, ROW(modules_sectionals!$A$1:$A$353)-ROW(modules_sectionals!$A$1)+1), ROW(15:15))),"")</f>
        <v/>
      </c>
      <c r="N17" s="5"/>
      <c r="O17" s="10" t="str">
        <f t="array" ref="O17">IFERROR(INDEX(modules_sectionals!$B$1:$B$353, SMALL(IF(O$2=modules_sectionals!$A$1:$A$353, ROW(modules_sectionals!$A$1:$A$353)-ROW(modules_sectionals!$A$1)+1), ROW(15:15))),"")</f>
        <v/>
      </c>
      <c r="P17" s="5"/>
      <c r="Q17" s="10" t="str">
        <f t="array" ref="Q17">IFERROR(INDEX(modules_sectionals!$B$1:$B$353, SMALL(IF(Q$2=modules_sectionals!$A$1:$A$353, ROW(modules_sectionals!$A$1:$A$353)-ROW(modules_sectionals!$A$1)+1), ROW(15:15))),"")</f>
        <v/>
      </c>
      <c r="R17" s="5"/>
      <c r="S17" s="10" t="str">
        <f t="array" ref="S17">IFERROR(INDEX(modules_sectionals!$B$1:$B$312, SMALL(IF(S$2=modules_sectionals!$A$1:$A$312, ROW(modules_sectionals!$A$1:$A$312)-ROW(modules_sectionals!$A$1)+1), ROW(15:15))),"")</f>
        <v/>
      </c>
      <c r="T17" s="5"/>
    </row>
    <row r="18" spans="1:20" x14ac:dyDescent="0.2">
      <c r="A18" s="17">
        <v>5</v>
      </c>
      <c r="B18" s="17" t="s">
        <v>4</v>
      </c>
      <c r="D18" s="15" t="s">
        <v>574</v>
      </c>
      <c r="E18" s="5"/>
      <c r="F18" s="15"/>
      <c r="G18" s="10" t="str">
        <f t="array" ref="G18">IFERROR(INDEX(#REF!, SMALL(IF($G$2=#REF!, ROW(#REF!)-ROW(#REF!)+1), ROW(16:16))),"")</f>
        <v/>
      </c>
      <c r="H18" s="5"/>
      <c r="I18" s="10" t="str">
        <f t="array" ref="I18">IFERROR(INDEX(modules_sectionals!$B$1:$B$312, SMALL(IF(I$2=modules_sectionals!$A$1:$A$312, ROW(modules_sectionals!$A$1:$A$312)-ROW(modules_sectionals!$A$1)+1), ROW(16:16))),"")</f>
        <v/>
      </c>
      <c r="J18" s="5"/>
      <c r="K18" s="10" t="str">
        <f t="array" ref="K18">IFERROR(INDEX(modules_sectionals!$B$1:$B$312, SMALL(IF(K$2=modules_sectionals!$A$1:$A$312, ROW(modules_sectionals!$A$1:$A$312)-ROW(modules_sectionals!$A$1)+1), ROW(16:16))),"")</f>
        <v/>
      </c>
      <c r="L18" s="5"/>
      <c r="M18" s="10" t="str">
        <f t="array" ref="M18">IFERROR(INDEX(modules_sectionals!$B$1:$B$353, SMALL(IF(M$2=modules_sectionals!$A$1:$A$353, ROW(modules_sectionals!$A$1:$A$353)-ROW(modules_sectionals!$A$1)+1), ROW(16:16))),"")</f>
        <v/>
      </c>
      <c r="N18" s="5"/>
      <c r="O18" s="10" t="str">
        <f t="array" ref="O18">IFERROR(INDEX(modules_sectionals!$B$1:$B$353, SMALL(IF(O$2=modules_sectionals!$A$1:$A$353, ROW(modules_sectionals!$A$1:$A$353)-ROW(modules_sectionals!$A$1)+1), ROW(16:16))),"")</f>
        <v/>
      </c>
      <c r="P18" s="5"/>
      <c r="Q18" s="10" t="str">
        <f t="array" ref="Q18">IFERROR(INDEX(modules_sectionals!$B$1:$B$353, SMALL(IF(Q$2=modules_sectionals!$A$1:$A$353, ROW(modules_sectionals!$A$1:$A$353)-ROW(modules_sectionals!$A$1)+1), ROW(16:16))),"")</f>
        <v/>
      </c>
      <c r="R18" s="5"/>
      <c r="S18" s="10" t="str">
        <f t="array" ref="S18">IFERROR(INDEX(modules_sectionals!$B$1:$B$312, SMALL(IF(S$2=modules_sectionals!$A$1:$A$312, ROW(modules_sectionals!$A$1:$A$312)-ROW(modules_sectionals!$A$1)+1), ROW(16:16))),"")</f>
        <v/>
      </c>
      <c r="T18" s="5"/>
    </row>
    <row r="19" spans="1:20" x14ac:dyDescent="0.2">
      <c r="A19" s="17">
        <v>6</v>
      </c>
      <c r="B19" s="17" t="s">
        <v>5</v>
      </c>
      <c r="E19" s="5"/>
      <c r="F19" s="15"/>
      <c r="G19" s="10" t="str">
        <f t="array" ref="G19">IFERROR(INDEX(#REF!, SMALL(IF($G$2=#REF!, ROW(#REF!)-ROW(#REF!)+1), ROW(17:17))),"")</f>
        <v/>
      </c>
      <c r="H19" s="5"/>
      <c r="I19" s="10" t="str">
        <f t="array" ref="I19">IFERROR(INDEX(modules_sectionals!$B$1:$B$312, SMALL(IF(I$2=modules_sectionals!$A$1:$A$312, ROW(modules_sectionals!$A$1:$A$312)-ROW(modules_sectionals!$A$1)+1), ROW(17:17))),"")</f>
        <v/>
      </c>
      <c r="J19" s="5"/>
      <c r="K19" s="10" t="str">
        <f t="array" ref="K19">IFERROR(INDEX(modules_sectionals!$B$1:$B$312, SMALL(IF(K$2=modules_sectionals!$A$1:$A$312, ROW(modules_sectionals!$A$1:$A$312)-ROW(modules_sectionals!$A$1)+1), ROW(17:17))),"")</f>
        <v/>
      </c>
      <c r="L19" s="5"/>
      <c r="M19" s="10" t="str">
        <f t="array" ref="M19">IFERROR(INDEX(modules_sectionals!$B$1:$B$353, SMALL(IF(M$2=modules_sectionals!$A$1:$A$353, ROW(modules_sectionals!$A$1:$A$353)-ROW(modules_sectionals!$A$1)+1), ROW(17:17))),"")</f>
        <v/>
      </c>
      <c r="N19" s="5"/>
      <c r="O19" s="10" t="str">
        <f t="array" ref="O19">IFERROR(INDEX(modules_sectionals!$B$1:$B$353, SMALL(IF(O$2=modules_sectionals!$A$1:$A$353, ROW(modules_sectionals!$A$1:$A$353)-ROW(modules_sectionals!$A$1)+1), ROW(17:17))),"")</f>
        <v/>
      </c>
      <c r="P19" s="5"/>
      <c r="Q19" s="10" t="str">
        <f t="array" ref="Q19">IFERROR(INDEX(modules_sectionals!$B$1:$B$353, SMALL(IF(Q$2=modules_sectionals!$A$1:$A$353, ROW(modules_sectionals!$A$1:$A$353)-ROW(modules_sectionals!$A$1)+1), ROW(17:17))),"")</f>
        <v/>
      </c>
      <c r="R19" s="5"/>
      <c r="S19" s="10" t="str">
        <f t="array" ref="S19">IFERROR(INDEX(modules_sectionals!$B$1:$B$312, SMALL(IF(S$2=modules_sectionals!$A$1:$A$312, ROW(modules_sectionals!$A$1:$A$312)-ROW(modules_sectionals!$A$1)+1), ROW(17:17))),"")</f>
        <v/>
      </c>
      <c r="T19" s="5"/>
    </row>
    <row r="20" spans="1:20" x14ac:dyDescent="0.2">
      <c r="A20" s="17">
        <v>7</v>
      </c>
      <c r="B20" s="17" t="s">
        <v>6</v>
      </c>
      <c r="E20" s="5"/>
      <c r="F20" s="15"/>
      <c r="G20" s="10" t="str">
        <f t="array" ref="G20">IFERROR(INDEX(#REF!, SMALL(IF($G$2=#REF!, ROW(#REF!)-ROW(#REF!)+1), ROW(18:18))),"")</f>
        <v/>
      </c>
      <c r="H20" s="5"/>
      <c r="I20" s="10" t="str">
        <f t="array" ref="I20">IFERROR(INDEX(modules_sectionals!$B$1:$B$312, SMALL(IF(I$2=modules_sectionals!$A$1:$A$312, ROW(modules_sectionals!$A$1:$A$312)-ROW(modules_sectionals!$A$1)+1), ROW(18:18))),"")</f>
        <v/>
      </c>
      <c r="J20" s="5"/>
      <c r="K20" s="10" t="str">
        <f t="array" ref="K20">IFERROR(INDEX(modules_sectionals!$B$1:$B$312, SMALL(IF(K$2=modules_sectionals!$A$1:$A$312, ROW(modules_sectionals!$A$1:$A$312)-ROW(modules_sectionals!$A$1)+1), ROW(18:18))),"")</f>
        <v/>
      </c>
      <c r="L20" s="5"/>
      <c r="M20" s="10" t="str">
        <f t="array" ref="M20">IFERROR(INDEX(modules_sectionals!$B$1:$B$353, SMALL(IF(M$2=modules_sectionals!$A$1:$A$353, ROW(modules_sectionals!$A$1:$A$353)-ROW(modules_sectionals!$A$1)+1), ROW(18:18))),"")</f>
        <v/>
      </c>
      <c r="N20" s="5"/>
      <c r="O20" s="10" t="str">
        <f t="array" ref="O20">IFERROR(INDEX(modules_sectionals!$B$1:$B$353, SMALL(IF(O$2=modules_sectionals!$A$1:$A$353, ROW(modules_sectionals!$A$1:$A$353)-ROW(modules_sectionals!$A$1)+1), ROW(18:18))),"")</f>
        <v/>
      </c>
      <c r="P20" s="5"/>
      <c r="Q20" s="10" t="str">
        <f t="array" ref="Q20">IFERROR(INDEX(modules_sectionals!$B$1:$B$353, SMALL(IF(Q$2=modules_sectionals!$A$1:$A$353, ROW(modules_sectionals!$A$1:$A$353)-ROW(modules_sectionals!$A$1)+1), ROW(18:18))),"")</f>
        <v/>
      </c>
      <c r="R20" s="5"/>
      <c r="S20" s="10" t="str">
        <f t="array" ref="S20">IFERROR(INDEX(modules_sectionals!$B$1:$B$312, SMALL(IF(S$2=modules_sectionals!$A$1:$A$312, ROW(modules_sectionals!$A$1:$A$312)-ROW(modules_sectionals!$A$1)+1), ROW(18:18))),"")</f>
        <v/>
      </c>
      <c r="T20" s="5"/>
    </row>
    <row r="21" spans="1:20" x14ac:dyDescent="0.2">
      <c r="A21" s="17">
        <v>8</v>
      </c>
      <c r="B21" s="17" t="s">
        <v>7</v>
      </c>
      <c r="E21" s="5"/>
      <c r="F21" s="15"/>
      <c r="G21" s="10" t="str">
        <f t="array" ref="G21">IFERROR(INDEX(#REF!, SMALL(IF($G$2=#REF!, ROW(#REF!)-ROW(#REF!)+1), ROW(19:19))),"")</f>
        <v/>
      </c>
      <c r="H21" s="5"/>
      <c r="I21" s="10" t="str">
        <f t="array" ref="I21">IFERROR(INDEX(modules_sectionals!$B$1:$B$312, SMALL(IF(I$2=modules_sectionals!$A$1:$A$312, ROW(modules_sectionals!$A$1:$A$312)-ROW(modules_sectionals!$A$1)+1), ROW(19:19))),"")</f>
        <v/>
      </c>
      <c r="J21" s="5"/>
      <c r="K21" s="10" t="str">
        <f t="array" ref="K21">IFERROR(INDEX(modules_sectionals!$B$1:$B$312, SMALL(IF(K$2=modules_sectionals!$A$1:$A$312, ROW(modules_sectionals!$A$1:$A$312)-ROW(modules_sectionals!$A$1)+1), ROW(19:19))),"")</f>
        <v/>
      </c>
      <c r="L21" s="5"/>
      <c r="M21" s="10" t="str">
        <f t="array" ref="M21">IFERROR(INDEX(modules_sectionals!$B$1:$B$353, SMALL(IF(M$2=modules_sectionals!$A$1:$A$353, ROW(modules_sectionals!$A$1:$A$353)-ROW(modules_sectionals!$A$1)+1), ROW(19:19))),"")</f>
        <v/>
      </c>
      <c r="N21" s="5"/>
      <c r="O21" s="10" t="str">
        <f t="array" ref="O21">IFERROR(INDEX(modules_sectionals!$B$1:$B$353, SMALL(IF(O$2=modules_sectionals!$A$1:$A$353, ROW(modules_sectionals!$A$1:$A$353)-ROW(modules_sectionals!$A$1)+1), ROW(19:19))),"")</f>
        <v/>
      </c>
      <c r="P21" s="5"/>
      <c r="Q21" s="10" t="str">
        <f t="array" ref="Q21">IFERROR(INDEX(modules_sectionals!$B$1:$B$353, SMALL(IF(Q$2=modules_sectionals!$A$1:$A$353, ROW(modules_sectionals!$A$1:$A$353)-ROW(modules_sectionals!$A$1)+1), ROW(19:19))),"")</f>
        <v/>
      </c>
      <c r="R21" s="5"/>
      <c r="S21" s="10" t="str">
        <f t="array" ref="S21">IFERROR(INDEX(modules_sectionals!$B$1:$B$312, SMALL(IF(S$2=modules_sectionals!$A$1:$A$312, ROW(modules_sectionals!$A$1:$A$312)-ROW(modules_sectionals!$A$1)+1), ROW(19:19))),"")</f>
        <v/>
      </c>
      <c r="T21" s="5"/>
    </row>
    <row r="22" spans="1:20" x14ac:dyDescent="0.2">
      <c r="A22" s="17">
        <v>9</v>
      </c>
      <c r="B22" s="17" t="s">
        <v>8</v>
      </c>
      <c r="D22" s="1" t="s">
        <v>578</v>
      </c>
      <c r="E22" s="5"/>
      <c r="F22" s="15"/>
      <c r="G22" s="5"/>
      <c r="H22" s="5"/>
      <c r="I22" s="10" t="str">
        <f t="array" ref="I22">IFERROR(INDEX(modules_sectionals!$B$1:$B$312, SMALL(IF(I$2=modules_sectionals!$A$1:$A$312, ROW(modules_sectionals!$A$1:$A$312)-ROW(modules_sectionals!$A$1)+1), ROW(20:20))),"")</f>
        <v/>
      </c>
      <c r="J22" s="5"/>
      <c r="K22" s="10" t="str">
        <f t="array" ref="K22">IFERROR(INDEX(modules_sectionals!$B$1:$B$312, SMALL(IF(K$2=modules_sectionals!$A$1:$A$312, ROW(modules_sectionals!$A$1:$A$312)-ROW(modules_sectionals!$A$1)+1), ROW(20:20))),"")</f>
        <v/>
      </c>
      <c r="L22" s="5"/>
      <c r="M22" s="10" t="str">
        <f t="array" ref="M22">IFERROR(INDEX(modules_sectionals!$B$1:$B$353, SMALL(IF(M$2=modules_sectionals!$A$1:$A$353, ROW(modules_sectionals!$A$1:$A$353)-ROW(modules_sectionals!$A$1)+1), ROW(20:20))),"")</f>
        <v/>
      </c>
      <c r="N22" s="5"/>
      <c r="O22" s="10" t="str">
        <f t="array" ref="O22">IFERROR(INDEX(modules_sectionals!$B$1:$B$353, SMALL(IF(O$2=modules_sectionals!$A$1:$A$353, ROW(modules_sectionals!$A$1:$A$353)-ROW(modules_sectionals!$A$1)+1), ROW(20:20))),"")</f>
        <v/>
      </c>
      <c r="P22" s="5"/>
      <c r="Q22" s="10" t="str">
        <f t="array" ref="Q22">IFERROR(INDEX(modules_sectionals!$B$1:$B$353, SMALL(IF(Q$2=modules_sectionals!$A$1:$A$353, ROW(modules_sectionals!$A$1:$A$353)-ROW(modules_sectionals!$A$1)+1), ROW(20:20))),"")</f>
        <v/>
      </c>
      <c r="R22" s="5"/>
      <c r="S22" s="10" t="str">
        <f t="array" ref="S22">IFERROR(INDEX(modules_sectionals!$B$1:$B$312, SMALL(IF(S$2=modules_sectionals!$A$1:$A$312, ROW(modules_sectionals!$A$1:$A$312)-ROW(modules_sectionals!$A$1)+1), ROW(20:20))),"")</f>
        <v/>
      </c>
      <c r="T22" s="5"/>
    </row>
    <row r="23" spans="1:20" x14ac:dyDescent="0.2">
      <c r="A23" s="17">
        <v>10</v>
      </c>
      <c r="B23" s="17" t="s">
        <v>9</v>
      </c>
      <c r="D23" s="42" t="s">
        <v>2</v>
      </c>
      <c r="E23" s="5"/>
      <c r="F23" s="15"/>
      <c r="G23" s="5"/>
      <c r="H23" s="5"/>
      <c r="I23" s="10" t="str">
        <f t="array" ref="I23">IFERROR(INDEX(modules_sectionals!$B$1:$B$312, SMALL(IF(I$2=modules_sectionals!$A$1:$A$312, ROW(modules_sectionals!$A$1:$A$312)-ROW(modules_sectionals!$A$1)+1), ROW(21:21))),"")</f>
        <v/>
      </c>
      <c r="J23" s="5"/>
      <c r="K23" s="10" t="str">
        <f t="array" ref="K23">IFERROR(INDEX(modules_sectionals!$B$1:$B$312, SMALL(IF(K$2=modules_sectionals!$A$1:$A$312, ROW(modules_sectionals!$A$1:$A$312)-ROW(modules_sectionals!$A$1)+1), ROW(21:21))),"")</f>
        <v/>
      </c>
      <c r="L23" s="5"/>
      <c r="M23" s="10" t="str">
        <f t="array" ref="M23">IFERROR(INDEX(modules_sectionals!$B$1:$B$353, SMALL(IF(M$2=modules_sectionals!$A$1:$A$353, ROW(modules_sectionals!$A$1:$A$353)-ROW(modules_sectionals!$A$1)+1), ROW(21:21))),"")</f>
        <v/>
      </c>
      <c r="N23" s="5"/>
      <c r="O23" s="10" t="str">
        <f t="array" ref="O23">IFERROR(INDEX(modules_sectionals!$B$1:$B$353, SMALL(IF(O$2=modules_sectionals!$A$1:$A$353, ROW(modules_sectionals!$A$1:$A$353)-ROW(modules_sectionals!$A$1)+1), ROW(21:21))),"")</f>
        <v/>
      </c>
      <c r="P23" s="5"/>
      <c r="Q23" s="10" t="str">
        <f t="array" ref="Q23">IFERROR(INDEX(modules_sectionals!$B$1:$B$353, SMALL(IF(Q$2=modules_sectionals!$A$1:$A$353, ROW(modules_sectionals!$A$1:$A$353)-ROW(modules_sectionals!$A$1)+1), ROW(21:21))),"")</f>
        <v/>
      </c>
      <c r="R23" s="5"/>
      <c r="S23" s="10" t="str">
        <f t="array" ref="S23">IFERROR(INDEX(modules_sectionals!$B$1:$B$312, SMALL(IF(S$2=modules_sectionals!$A$1:$A$312, ROW(modules_sectionals!$A$1:$A$312)-ROW(modules_sectionals!$A$1)+1), ROW(21:21))),"")</f>
        <v/>
      </c>
      <c r="T23" s="5"/>
    </row>
    <row r="24" spans="1:20" x14ac:dyDescent="0.2">
      <c r="A24" s="17">
        <v>11</v>
      </c>
      <c r="B24" s="17" t="s">
        <v>10</v>
      </c>
      <c r="D24" s="42" t="s">
        <v>23</v>
      </c>
      <c r="E24" s="5"/>
      <c r="F24" s="15"/>
      <c r="G24" s="5"/>
      <c r="H24" s="5"/>
      <c r="I24" s="10" t="str">
        <f t="array" ref="I24">IFERROR(INDEX(modules_sectionals!$B$1:$B$312, SMALL(IF(I$2=modules_sectionals!$A$1:$A$312, ROW(modules_sectionals!$A$1:$A$312)-ROW(modules_sectionals!$A$1)+1), ROW(22:22))),"")</f>
        <v/>
      </c>
      <c r="J24" s="5"/>
      <c r="K24" s="10" t="str">
        <f t="array" ref="K24">IFERROR(INDEX(modules_sectionals!$B$1:$B$312, SMALL(IF(K$2=modules_sectionals!$A$1:$A$312, ROW(modules_sectionals!$A$1:$A$312)-ROW(modules_sectionals!$A$1)+1), ROW(22:22))),"")</f>
        <v/>
      </c>
      <c r="L24" s="5"/>
      <c r="M24" s="10" t="str">
        <f t="array" ref="M24">IFERROR(INDEX(modules_sectionals!$B$1:$B$353, SMALL(IF(M$2=modules_sectionals!$A$1:$A$353, ROW(modules_sectionals!$A$1:$A$353)-ROW(modules_sectionals!$A$1)+1), ROW(22:22))),"")</f>
        <v/>
      </c>
      <c r="N24" s="5"/>
      <c r="O24" s="10" t="str">
        <f t="array" ref="O24">IFERROR(INDEX(modules_sectionals!$B$1:$B$353, SMALL(IF(O$2=modules_sectionals!$A$1:$A$353, ROW(modules_sectionals!$A$1:$A$353)-ROW(modules_sectionals!$A$1)+1), ROW(22:22))),"")</f>
        <v/>
      </c>
      <c r="P24" s="5"/>
      <c r="Q24" s="10" t="str">
        <f t="array" ref="Q24">IFERROR(INDEX(modules_sectionals!$B$1:$B$353, SMALL(IF(Q$2=modules_sectionals!$A$1:$A$353, ROW(modules_sectionals!$A$1:$A$353)-ROW(modules_sectionals!$A$1)+1), ROW(22:22))),"")</f>
        <v/>
      </c>
      <c r="R24" s="5"/>
      <c r="S24" s="10" t="str">
        <f t="array" ref="S24">IFERROR(INDEX(modules_sectionals!$B$1:$B$312, SMALL(IF(S$2=modules_sectionals!$A$1:$A$312, ROW(modules_sectionals!$A$1:$A$312)-ROW(modules_sectionals!$A$1)+1), ROW(22:22))),"")</f>
        <v/>
      </c>
      <c r="T24" s="5"/>
    </row>
    <row r="25" spans="1:20" x14ac:dyDescent="0.2">
      <c r="A25" s="17">
        <v>12</v>
      </c>
      <c r="B25" s="17" t="s">
        <v>11</v>
      </c>
      <c r="D25" s="42" t="s">
        <v>24</v>
      </c>
      <c r="E25" s="5"/>
      <c r="F25" s="15"/>
      <c r="G25" s="5"/>
      <c r="H25" s="5"/>
      <c r="I25" s="10" t="str">
        <f t="array" ref="I25">IFERROR(INDEX(modules_sectionals!$B$1:$B$312, SMALL(IF(I$2=modules_sectionals!$A$1:$A$312, ROW(modules_sectionals!$A$1:$A$312)-ROW(modules_sectionals!$A$1)+1), ROW(23:23))),"")</f>
        <v/>
      </c>
      <c r="J25" s="5"/>
      <c r="K25" s="10" t="str">
        <f t="array" ref="K25">IFERROR(INDEX(modules_sectionals!$B$1:$B$312, SMALL(IF(K$2=modules_sectionals!$A$1:$A$312, ROW(modules_sectionals!$A$1:$A$312)-ROW(modules_sectionals!$A$1)+1), ROW(23:23))),"")</f>
        <v/>
      </c>
      <c r="L25" s="5"/>
      <c r="M25" s="10" t="str">
        <f t="array" ref="M25">IFERROR(INDEX(modules_sectionals!$B$1:$B$353, SMALL(IF(M$2=modules_sectionals!$A$1:$A$353, ROW(modules_sectionals!$A$1:$A$353)-ROW(modules_sectionals!$A$1)+1), ROW(23:23))),"")</f>
        <v/>
      </c>
      <c r="N25" s="5"/>
      <c r="O25" s="10" t="str">
        <f t="array" ref="O25">IFERROR(INDEX(modules_sectionals!$B$1:$B$353, SMALL(IF(O$2=modules_sectionals!$A$1:$A$353, ROW(modules_sectionals!$A$1:$A$353)-ROW(modules_sectionals!$A$1)+1), ROW(23:23))),"")</f>
        <v/>
      </c>
      <c r="P25" s="5"/>
      <c r="Q25" s="10" t="str">
        <f t="array" ref="Q25">IFERROR(INDEX(modules_sectionals!$B$1:$B$353, SMALL(IF(Q$2=modules_sectionals!$A$1:$A$353, ROW(modules_sectionals!$A$1:$A$353)-ROW(modules_sectionals!$A$1)+1), ROW(23:23))),"")</f>
        <v/>
      </c>
      <c r="R25" s="5"/>
      <c r="S25" s="10" t="str">
        <f t="array" ref="S25">IFERROR(INDEX(modules_sectionals!$B$1:$B$312, SMALL(IF(S$2=modules_sectionals!$A$1:$A$312, ROW(modules_sectionals!$A$1:$A$312)-ROW(modules_sectionals!$A$1)+1), ROW(23:23))),"")</f>
        <v/>
      </c>
      <c r="T25" s="5"/>
    </row>
    <row r="26" spans="1:20" x14ac:dyDescent="0.2">
      <c r="A26" s="17">
        <v>13</v>
      </c>
      <c r="B26" s="17" t="s">
        <v>12</v>
      </c>
      <c r="D26" s="42" t="s">
        <v>26</v>
      </c>
    </row>
    <row r="27" spans="1:20" x14ac:dyDescent="0.2">
      <c r="A27" s="17">
        <v>14</v>
      </c>
      <c r="B27" s="17" t="s">
        <v>13</v>
      </c>
      <c r="D27" s="42" t="s">
        <v>33</v>
      </c>
    </row>
    <row r="28" spans="1:20" x14ac:dyDescent="0.2">
      <c r="A28" s="17">
        <v>15</v>
      </c>
      <c r="B28" s="17" t="s">
        <v>14</v>
      </c>
      <c r="D28" s="42" t="s">
        <v>80</v>
      </c>
    </row>
    <row r="29" spans="1:20" ht="17" thickBot="1" x14ac:dyDescent="0.25">
      <c r="A29" s="17">
        <v>16</v>
      </c>
      <c r="B29" s="17" t="s">
        <v>15</v>
      </c>
      <c r="D29" s="43" t="s">
        <v>99</v>
      </c>
    </row>
    <row r="30" spans="1:20" x14ac:dyDescent="0.2">
      <c r="A30" s="17">
        <v>17</v>
      </c>
      <c r="B30" s="17" t="s">
        <v>16</v>
      </c>
    </row>
    <row r="31" spans="1:20" x14ac:dyDescent="0.2">
      <c r="A31" s="17">
        <v>18</v>
      </c>
      <c r="B31" s="17" t="s">
        <v>17</v>
      </c>
    </row>
    <row r="32" spans="1:20" ht="17" thickBot="1" x14ac:dyDescent="0.25">
      <c r="A32" s="18">
        <v>19</v>
      </c>
      <c r="B32" s="18" t="s">
        <v>18</v>
      </c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H4:H13 J4:J13 L4:L13 N4:N13 P4:P13 R4:R13 T4:T13">
    <cfRule type="duplicateValues" dxfId="1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9"/>
  </sheetPr>
  <dimension ref="A1:B3"/>
  <sheetViews>
    <sheetView workbookViewId="0">
      <selection activeCell="B35" sqref="B35"/>
    </sheetView>
  </sheetViews>
  <sheetFormatPr baseColWidth="10" defaultColWidth="8.83203125" defaultRowHeight="16" x14ac:dyDescent="0.2"/>
  <sheetData>
    <row r="1" spans="1:2" x14ac:dyDescent="0.25">
      <c r="A1" t="s">
        <v>575</v>
      </c>
      <c r="B1">
        <f>input!E14</f>
        <v>2</v>
      </c>
    </row>
    <row r="2" spans="1:2" x14ac:dyDescent="0.25">
      <c r="A2" t="s">
        <v>576</v>
      </c>
      <c r="B2">
        <f>input!E15</f>
        <v>3</v>
      </c>
    </row>
    <row r="3" spans="1:2" x14ac:dyDescent="0.25">
      <c r="A3" t="s">
        <v>577</v>
      </c>
      <c r="B3">
        <f>input!E16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B121"/>
  <sheetViews>
    <sheetView workbookViewId="0">
      <selection activeCell="B1" sqref="B1:B121"/>
    </sheetView>
  </sheetViews>
  <sheetFormatPr baseColWidth="10" defaultColWidth="11" defaultRowHeight="16" x14ac:dyDescent="0.2"/>
  <sheetData>
    <row r="1" spans="1:2" x14ac:dyDescent="0.25">
      <c r="A1" t="s">
        <v>0</v>
      </c>
      <c r="B1">
        <f>IF(ISNA(VLOOKUP(A1,input!$B$14:$B$56,1,0)),0,1)</f>
        <v>1</v>
      </c>
    </row>
    <row r="2" spans="1:2" x14ac:dyDescent="0.25">
      <c r="A2" t="s">
        <v>1</v>
      </c>
      <c r="B2">
        <f>IF(ISNA(VLOOKUP(A2,input!$B$14:$B$56,1,0)),0,1)</f>
        <v>1</v>
      </c>
    </row>
    <row r="3" spans="1:2" x14ac:dyDescent="0.25">
      <c r="A3" t="s">
        <v>2</v>
      </c>
      <c r="B3">
        <f>IF(ISNA(VLOOKUP(A3,input!$B$14:$B$56,1,0)),0,1)</f>
        <v>1</v>
      </c>
    </row>
    <row r="4" spans="1:2" x14ac:dyDescent="0.25">
      <c r="A4" t="s">
        <v>3</v>
      </c>
      <c r="B4">
        <f>IF(ISNA(VLOOKUP(A4,input!$B$14:$B$56,1,0)),0,1)</f>
        <v>1</v>
      </c>
    </row>
    <row r="5" spans="1:2" x14ac:dyDescent="0.25">
      <c r="A5" t="s">
        <v>4</v>
      </c>
      <c r="B5">
        <f>IF(ISNA(VLOOKUP(A5,input!$B$14:$B$56,1,0)),0,1)</f>
        <v>1</v>
      </c>
    </row>
    <row r="6" spans="1:2" x14ac:dyDescent="0.25">
      <c r="A6" t="s">
        <v>5</v>
      </c>
      <c r="B6">
        <f>IF(ISNA(VLOOKUP(A6,input!$B$14:$B$56,1,0)),0,1)</f>
        <v>1</v>
      </c>
    </row>
    <row r="7" spans="1:2" x14ac:dyDescent="0.25">
      <c r="A7" t="s">
        <v>6</v>
      </c>
      <c r="B7">
        <f>IF(ISNA(VLOOKUP(A7,input!$B$14:$B$56,1,0)),0,1)</f>
        <v>1</v>
      </c>
    </row>
    <row r="8" spans="1:2" x14ac:dyDescent="0.25">
      <c r="A8" t="s">
        <v>7</v>
      </c>
      <c r="B8">
        <f>IF(ISNA(VLOOKUP(A8,input!$B$14:$B$56,1,0)),0,1)</f>
        <v>1</v>
      </c>
    </row>
    <row r="9" spans="1:2" x14ac:dyDescent="0.25">
      <c r="A9" t="s">
        <v>8</v>
      </c>
      <c r="B9">
        <f>IF(ISNA(VLOOKUP(A9,input!$B$14:$B$56,1,0)),0,1)</f>
        <v>1</v>
      </c>
    </row>
    <row r="10" spans="1:2" x14ac:dyDescent="0.25">
      <c r="A10" t="s">
        <v>9</v>
      </c>
      <c r="B10">
        <f>IF(ISNA(VLOOKUP(A10,input!$B$14:$B$56,1,0)),0,1)</f>
        <v>1</v>
      </c>
    </row>
    <row r="11" spans="1:2" x14ac:dyDescent="0.25">
      <c r="A11" t="s">
        <v>10</v>
      </c>
      <c r="B11">
        <f>IF(ISNA(VLOOKUP(A11,input!$B$14:$B$56,1,0)),0,1)</f>
        <v>1</v>
      </c>
    </row>
    <row r="12" spans="1:2" x14ac:dyDescent="0.25">
      <c r="A12" t="s">
        <v>11</v>
      </c>
      <c r="B12">
        <f>IF(ISNA(VLOOKUP(A12,input!$B$14:$B$56,1,0)),0,1)</f>
        <v>1</v>
      </c>
    </row>
    <row r="13" spans="1:2" x14ac:dyDescent="0.25">
      <c r="A13" t="s">
        <v>12</v>
      </c>
      <c r="B13">
        <f>IF(ISNA(VLOOKUP(A13,input!$B$14:$B$56,1,0)),0,1)</f>
        <v>1</v>
      </c>
    </row>
    <row r="14" spans="1:2" x14ac:dyDescent="0.25">
      <c r="A14" t="s">
        <v>13</v>
      </c>
      <c r="B14">
        <f>IF(ISNA(VLOOKUP(A14,input!$B$14:$B$56,1,0)),0,1)</f>
        <v>1</v>
      </c>
    </row>
    <row r="15" spans="1:2" x14ac:dyDescent="0.25">
      <c r="A15" t="s">
        <v>14</v>
      </c>
      <c r="B15">
        <f>IF(ISNA(VLOOKUP(A15,input!$B$14:$B$56,1,0)),0,1)</f>
        <v>1</v>
      </c>
    </row>
    <row r="16" spans="1:2" x14ac:dyDescent="0.25">
      <c r="A16" t="s">
        <v>15</v>
      </c>
      <c r="B16">
        <f>IF(ISNA(VLOOKUP(A16,input!$B$14:$B$56,1,0)),0,1)</f>
        <v>1</v>
      </c>
    </row>
    <row r="17" spans="1:2" x14ac:dyDescent="0.25">
      <c r="A17" t="s">
        <v>16</v>
      </c>
      <c r="B17">
        <f>IF(ISNA(VLOOKUP(A17,input!$B$14:$B$56,1,0)),0,1)</f>
        <v>1</v>
      </c>
    </row>
    <row r="18" spans="1:2" x14ac:dyDescent="0.25">
      <c r="A18" t="s">
        <v>17</v>
      </c>
      <c r="B18">
        <f>IF(ISNA(VLOOKUP(A18,input!$B$14:$B$56,1,0)),0,1)</f>
        <v>1</v>
      </c>
    </row>
    <row r="19" spans="1:2" x14ac:dyDescent="0.25">
      <c r="A19" t="s">
        <v>18</v>
      </c>
      <c r="B19">
        <f>IF(ISNA(VLOOKUP(A19,input!$B$14:$B$56,1,0)),0,1)</f>
        <v>1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">
      <c r="A32" t="s">
        <v>31</v>
      </c>
      <c r="B32">
        <f>IF(ISNA(VLOOKUP(A32,input!$B$14:$B$56,1,0)),0,1)</f>
        <v>0</v>
      </c>
    </row>
    <row r="33" spans="1:2" x14ac:dyDescent="0.2">
      <c r="A33" t="s">
        <v>32</v>
      </c>
      <c r="B33">
        <f>IF(ISNA(VLOOKUP(A33,input!$B$14:$B$56,1,0)),0,1)</f>
        <v>0</v>
      </c>
    </row>
    <row r="34" spans="1:2" x14ac:dyDescent="0.2">
      <c r="A34" t="s">
        <v>33</v>
      </c>
      <c r="B34">
        <f>IF(ISNA(VLOOKUP(A34,input!$B$14:$B$56,1,0)),0,1)</f>
        <v>0</v>
      </c>
    </row>
    <row r="35" spans="1:2" x14ac:dyDescent="0.2">
      <c r="A35" t="s">
        <v>34</v>
      </c>
      <c r="B35">
        <f>IF(ISNA(VLOOKUP(A35,input!$B$14:$B$56,1,0)),0,1)</f>
        <v>0</v>
      </c>
    </row>
    <row r="36" spans="1:2" x14ac:dyDescent="0.2">
      <c r="A36" t="s">
        <v>35</v>
      </c>
      <c r="B36">
        <f>IF(ISNA(VLOOKUP(A36,input!$B$14:$B$56,1,0)),0,1)</f>
        <v>0</v>
      </c>
    </row>
    <row r="37" spans="1:2" x14ac:dyDescent="0.2">
      <c r="A37" t="s">
        <v>36</v>
      </c>
      <c r="B37">
        <f>IF(ISNA(VLOOKUP(A37,input!$B$14:$B$56,1,0)),0,1)</f>
        <v>0</v>
      </c>
    </row>
    <row r="38" spans="1:2" x14ac:dyDescent="0.2">
      <c r="A38" t="s">
        <v>37</v>
      </c>
      <c r="B38">
        <f>IF(ISNA(VLOOKUP(A38,input!$B$14:$B$56,1,0)),0,1)</f>
        <v>0</v>
      </c>
    </row>
    <row r="39" spans="1:2" x14ac:dyDescent="0.2">
      <c r="A39" t="s">
        <v>38</v>
      </c>
      <c r="B39">
        <f>IF(ISNA(VLOOKUP(A39,input!$B$14:$B$56,1,0)),0,1)</f>
        <v>0</v>
      </c>
    </row>
    <row r="40" spans="1:2" x14ac:dyDescent="0.2">
      <c r="A40" t="s">
        <v>39</v>
      </c>
      <c r="B40">
        <f>IF(ISNA(VLOOKUP(A40,input!$B$14:$B$56,1,0)),0,1)</f>
        <v>0</v>
      </c>
    </row>
    <row r="41" spans="1:2" x14ac:dyDescent="0.2">
      <c r="A41" t="s">
        <v>40</v>
      </c>
      <c r="B41">
        <f>IF(ISNA(VLOOKUP(A41,input!$B$14:$B$56,1,0)),0,1)</f>
        <v>0</v>
      </c>
    </row>
    <row r="42" spans="1:2" x14ac:dyDescent="0.2">
      <c r="A42" t="s">
        <v>41</v>
      </c>
      <c r="B42">
        <f>IF(ISNA(VLOOKUP(A42,input!$B$14:$B$56,1,0)),0,1)</f>
        <v>0</v>
      </c>
    </row>
    <row r="43" spans="1:2" x14ac:dyDescent="0.2">
      <c r="A43" t="s">
        <v>42</v>
      </c>
      <c r="B43">
        <f>IF(ISNA(VLOOKUP(A43,input!$B$14:$B$56,1,0)),0,1)</f>
        <v>0</v>
      </c>
    </row>
    <row r="44" spans="1:2" x14ac:dyDescent="0.2">
      <c r="A44" t="s">
        <v>43</v>
      </c>
      <c r="B44">
        <f>IF(ISNA(VLOOKUP(A44,input!$B$14:$B$56,1,0)),0,1)</f>
        <v>0</v>
      </c>
    </row>
    <row r="45" spans="1:2" x14ac:dyDescent="0.2">
      <c r="A45" t="s">
        <v>44</v>
      </c>
      <c r="B45">
        <f>IF(ISNA(VLOOKUP(A45,input!$B$14:$B$56,1,0)),0,1)</f>
        <v>0</v>
      </c>
    </row>
    <row r="46" spans="1:2" x14ac:dyDescent="0.2">
      <c r="A46" t="s">
        <v>45</v>
      </c>
      <c r="B46">
        <f>IF(ISNA(VLOOKUP(A46,input!$B$14:$B$56,1,0)),0,1)</f>
        <v>0</v>
      </c>
    </row>
    <row r="47" spans="1:2" x14ac:dyDescent="0.2">
      <c r="A47" t="s">
        <v>46</v>
      </c>
      <c r="B47">
        <f>IF(ISNA(VLOOKUP(A47,input!$B$14:$B$56,1,0)),0,1)</f>
        <v>0</v>
      </c>
    </row>
    <row r="48" spans="1:2" x14ac:dyDescent="0.2">
      <c r="A48" t="s">
        <v>47</v>
      </c>
      <c r="B48">
        <f>IF(ISNA(VLOOKUP(A48,input!$B$14:$B$56,1,0)),0,1)</f>
        <v>0</v>
      </c>
    </row>
    <row r="49" spans="1:2" x14ac:dyDescent="0.2">
      <c r="A49" t="s">
        <v>48</v>
      </c>
      <c r="B49">
        <f>IF(ISNA(VLOOKUP(A49,input!$B$14:$B$56,1,0)),0,1)</f>
        <v>0</v>
      </c>
    </row>
    <row r="50" spans="1:2" x14ac:dyDescent="0.2">
      <c r="A50" t="s">
        <v>49</v>
      </c>
      <c r="B50">
        <f>IF(ISNA(VLOOKUP(A50,input!$B$14:$B$56,1,0)),0,1)</f>
        <v>0</v>
      </c>
    </row>
    <row r="51" spans="1:2" x14ac:dyDescent="0.2">
      <c r="A51" t="s">
        <v>50</v>
      </c>
      <c r="B51">
        <f>IF(ISNA(VLOOKUP(A51,input!$B$14:$B$56,1,0)),0,1)</f>
        <v>0</v>
      </c>
    </row>
    <row r="52" spans="1:2" x14ac:dyDescent="0.2">
      <c r="A52" t="s">
        <v>51</v>
      </c>
      <c r="B52">
        <f>IF(ISNA(VLOOKUP(A52,input!$B$14:$B$56,1,0)),0,1)</f>
        <v>0</v>
      </c>
    </row>
    <row r="53" spans="1:2" x14ac:dyDescent="0.2">
      <c r="A53" t="s">
        <v>52</v>
      </c>
      <c r="B53">
        <f>IF(ISNA(VLOOKUP(A53,input!$B$14:$B$56,1,0)),0,1)</f>
        <v>0</v>
      </c>
    </row>
    <row r="54" spans="1:2" x14ac:dyDescent="0.2">
      <c r="A54" t="s">
        <v>53</v>
      </c>
      <c r="B54">
        <f>IF(ISNA(VLOOKUP(A54,input!$B$14:$B$56,1,0)),0,1)</f>
        <v>0</v>
      </c>
    </row>
    <row r="55" spans="1:2" x14ac:dyDescent="0.2">
      <c r="A55" t="s">
        <v>54</v>
      </c>
      <c r="B55">
        <f>IF(ISNA(VLOOKUP(A55,input!$B$14:$B$56,1,0)),0,1)</f>
        <v>0</v>
      </c>
    </row>
    <row r="56" spans="1:2" x14ac:dyDescent="0.2">
      <c r="A56" t="s">
        <v>55</v>
      </c>
      <c r="B56">
        <f>IF(ISNA(VLOOKUP(A56,input!$B$14:$B$56,1,0)),0,1)</f>
        <v>0</v>
      </c>
    </row>
    <row r="57" spans="1:2" x14ac:dyDescent="0.2">
      <c r="A57" t="s">
        <v>56</v>
      </c>
      <c r="B57">
        <f>IF(ISNA(VLOOKUP(A57,input!$B$14:$B$56,1,0)),0,1)</f>
        <v>0</v>
      </c>
    </row>
    <row r="58" spans="1:2" x14ac:dyDescent="0.2">
      <c r="A58" t="s">
        <v>57</v>
      </c>
      <c r="B58">
        <f>IF(ISNA(VLOOKUP(A58,input!$B$14:$B$56,1,0)),0,1)</f>
        <v>0</v>
      </c>
    </row>
    <row r="59" spans="1:2" x14ac:dyDescent="0.2">
      <c r="A59" t="s">
        <v>58</v>
      </c>
      <c r="B59">
        <f>IF(ISNA(VLOOKUP(A59,input!$B$14:$B$56,1,0)),0,1)</f>
        <v>0</v>
      </c>
    </row>
    <row r="60" spans="1:2" x14ac:dyDescent="0.2">
      <c r="A60" t="s">
        <v>59</v>
      </c>
      <c r="B60">
        <f>IF(ISNA(VLOOKUP(A60,input!$B$14:$B$56,1,0)),0,1)</f>
        <v>0</v>
      </c>
    </row>
    <row r="61" spans="1:2" x14ac:dyDescent="0.2">
      <c r="A61" t="s">
        <v>60</v>
      </c>
      <c r="B61">
        <f>IF(ISNA(VLOOKUP(A61,input!$B$14:$B$56,1,0)),0,1)</f>
        <v>0</v>
      </c>
    </row>
    <row r="62" spans="1:2" x14ac:dyDescent="0.2">
      <c r="A62" t="s">
        <v>61</v>
      </c>
      <c r="B62">
        <f>IF(ISNA(VLOOKUP(A62,input!$B$14:$B$56,1,0)),0,1)</f>
        <v>0</v>
      </c>
    </row>
    <row r="63" spans="1:2" x14ac:dyDescent="0.2">
      <c r="A63" t="s">
        <v>62</v>
      </c>
      <c r="B63">
        <f>IF(ISNA(VLOOKUP(A63,input!$B$14:$B$56,1,0)),0,1)</f>
        <v>0</v>
      </c>
    </row>
    <row r="64" spans="1:2" x14ac:dyDescent="0.2">
      <c r="A64" t="s">
        <v>63</v>
      </c>
      <c r="B64">
        <f>IF(ISNA(VLOOKUP(A64,input!$B$14:$B$56,1,0)),0,1)</f>
        <v>0</v>
      </c>
    </row>
    <row r="65" spans="1:2" x14ac:dyDescent="0.2">
      <c r="A65" t="s">
        <v>64</v>
      </c>
      <c r="B65">
        <f>IF(ISNA(VLOOKUP(A65,input!$B$14:$B$56,1,0)),0,1)</f>
        <v>0</v>
      </c>
    </row>
    <row r="66" spans="1:2" x14ac:dyDescent="0.2">
      <c r="A66" t="s">
        <v>65</v>
      </c>
      <c r="B66">
        <f>IF(ISNA(VLOOKUP(A66,input!$B$14:$B$56,1,0)),0,1)</f>
        <v>0</v>
      </c>
    </row>
    <row r="67" spans="1:2" x14ac:dyDescent="0.2">
      <c r="A67" t="s">
        <v>66</v>
      </c>
      <c r="B67">
        <f>IF(ISNA(VLOOKUP(A67,input!$B$14:$B$56,1,0)),0,1)</f>
        <v>0</v>
      </c>
    </row>
    <row r="68" spans="1:2" x14ac:dyDescent="0.2">
      <c r="A68" t="s">
        <v>67</v>
      </c>
      <c r="B68">
        <f>IF(ISNA(VLOOKUP(A68,input!$B$14:$B$56,1,0)),0,1)</f>
        <v>0</v>
      </c>
    </row>
    <row r="69" spans="1:2" x14ac:dyDescent="0.2">
      <c r="A69" t="s">
        <v>68</v>
      </c>
      <c r="B69">
        <f>IF(ISNA(VLOOKUP(A69,input!$B$14:$B$56,1,0)),0,1)</f>
        <v>0</v>
      </c>
    </row>
    <row r="70" spans="1:2" x14ac:dyDescent="0.2">
      <c r="A70" t="s">
        <v>69</v>
      </c>
      <c r="B70">
        <f>IF(ISNA(VLOOKUP(A70,input!$B$14:$B$56,1,0)),0,1)</f>
        <v>0</v>
      </c>
    </row>
    <row r="71" spans="1:2" x14ac:dyDescent="0.2">
      <c r="A71" t="s">
        <v>70</v>
      </c>
      <c r="B71">
        <f>IF(ISNA(VLOOKUP(A71,input!$B$14:$B$56,1,0)),0,1)</f>
        <v>0</v>
      </c>
    </row>
    <row r="72" spans="1:2" x14ac:dyDescent="0.2">
      <c r="A72" t="s">
        <v>71</v>
      </c>
      <c r="B72">
        <f>IF(ISNA(VLOOKUP(A72,input!$B$14:$B$56,1,0)),0,1)</f>
        <v>0</v>
      </c>
    </row>
    <row r="73" spans="1:2" x14ac:dyDescent="0.2">
      <c r="A73" t="s">
        <v>72</v>
      </c>
      <c r="B73">
        <f>IF(ISNA(VLOOKUP(A73,input!$B$14:$B$56,1,0)),0,1)</f>
        <v>0</v>
      </c>
    </row>
    <row r="74" spans="1:2" x14ac:dyDescent="0.2">
      <c r="A74" t="s">
        <v>73</v>
      </c>
      <c r="B74">
        <f>IF(ISNA(VLOOKUP(A74,input!$B$14:$B$56,1,0)),0,1)</f>
        <v>0</v>
      </c>
    </row>
    <row r="75" spans="1:2" x14ac:dyDescent="0.2">
      <c r="A75" t="s">
        <v>74</v>
      </c>
      <c r="B75">
        <f>IF(ISNA(VLOOKUP(A75,input!$B$14:$B$56,1,0)),0,1)</f>
        <v>0</v>
      </c>
    </row>
    <row r="76" spans="1:2" x14ac:dyDescent="0.2">
      <c r="A76" t="s">
        <v>75</v>
      </c>
      <c r="B76">
        <f>IF(ISNA(VLOOKUP(A76,input!$B$14:$B$56,1,0)),0,1)</f>
        <v>0</v>
      </c>
    </row>
    <row r="77" spans="1:2" x14ac:dyDescent="0.2">
      <c r="A77" t="s">
        <v>76</v>
      </c>
      <c r="B77">
        <f>IF(ISNA(VLOOKUP(A77,input!$B$14:$B$56,1,0)),0,1)</f>
        <v>0</v>
      </c>
    </row>
    <row r="78" spans="1:2" x14ac:dyDescent="0.2">
      <c r="A78" t="s">
        <v>77</v>
      </c>
      <c r="B78">
        <f>IF(ISNA(VLOOKUP(A78,input!$B$14:$B$56,1,0)),0,1)</f>
        <v>0</v>
      </c>
    </row>
    <row r="79" spans="1:2" x14ac:dyDescent="0.2">
      <c r="A79" t="s">
        <v>78</v>
      </c>
      <c r="B79">
        <f>IF(ISNA(VLOOKUP(A79,input!$B$14:$B$56,1,0)),0,1)</f>
        <v>0</v>
      </c>
    </row>
    <row r="80" spans="1:2" x14ac:dyDescent="0.2">
      <c r="A80" t="s">
        <v>79</v>
      </c>
      <c r="B80">
        <f>IF(ISNA(VLOOKUP(A80,input!$B$14:$B$56,1,0)),0,1)</f>
        <v>0</v>
      </c>
    </row>
    <row r="81" spans="1:2" x14ac:dyDescent="0.2">
      <c r="A81" t="s">
        <v>80</v>
      </c>
      <c r="B81">
        <f>IF(ISNA(VLOOKUP(A81,input!$B$14:$B$56,1,0)),0,1)</f>
        <v>0</v>
      </c>
    </row>
    <row r="82" spans="1:2" x14ac:dyDescent="0.2">
      <c r="A82" t="s">
        <v>81</v>
      </c>
      <c r="B82">
        <f>IF(ISNA(VLOOKUP(A82,input!$B$14:$B$56,1,0)),0,1)</f>
        <v>0</v>
      </c>
    </row>
    <row r="83" spans="1:2" x14ac:dyDescent="0.2">
      <c r="A83" t="s">
        <v>82</v>
      </c>
      <c r="B83">
        <f>IF(ISNA(VLOOKUP(A83,input!$B$14:$B$56,1,0)),0,1)</f>
        <v>0</v>
      </c>
    </row>
    <row r="84" spans="1:2" x14ac:dyDescent="0.2">
      <c r="A84" t="s">
        <v>83</v>
      </c>
      <c r="B84">
        <f>IF(ISNA(VLOOKUP(A84,input!$B$14:$B$56,1,0)),0,1)</f>
        <v>0</v>
      </c>
    </row>
    <row r="85" spans="1:2" x14ac:dyDescent="0.2">
      <c r="A85" t="s">
        <v>84</v>
      </c>
      <c r="B85">
        <f>IF(ISNA(VLOOKUP(A85,input!$B$14:$B$56,1,0)),0,1)</f>
        <v>0</v>
      </c>
    </row>
    <row r="86" spans="1:2" x14ac:dyDescent="0.2">
      <c r="A86" t="s">
        <v>85</v>
      </c>
      <c r="B86">
        <f>IF(ISNA(VLOOKUP(A86,input!$B$14:$B$56,1,0)),0,1)</f>
        <v>0</v>
      </c>
    </row>
    <row r="87" spans="1:2" x14ac:dyDescent="0.2">
      <c r="A87" t="s">
        <v>86</v>
      </c>
      <c r="B87">
        <f>IF(ISNA(VLOOKUP(A87,input!$B$14:$B$56,1,0)),0,1)</f>
        <v>0</v>
      </c>
    </row>
    <row r="88" spans="1:2" x14ac:dyDescent="0.2">
      <c r="A88" t="s">
        <v>87</v>
      </c>
      <c r="B88">
        <f>IF(ISNA(VLOOKUP(A88,input!$B$14:$B$56,1,0)),0,1)</f>
        <v>0</v>
      </c>
    </row>
    <row r="89" spans="1:2" x14ac:dyDescent="0.2">
      <c r="A89" t="s">
        <v>88</v>
      </c>
      <c r="B89">
        <f>IF(ISNA(VLOOKUP(A89,input!$B$14:$B$56,1,0)),0,1)</f>
        <v>0</v>
      </c>
    </row>
    <row r="90" spans="1:2" x14ac:dyDescent="0.2">
      <c r="A90" t="s">
        <v>89</v>
      </c>
      <c r="B90">
        <f>IF(ISNA(VLOOKUP(A90,input!$B$14:$B$56,1,0)),0,1)</f>
        <v>0</v>
      </c>
    </row>
    <row r="91" spans="1:2" x14ac:dyDescent="0.2">
      <c r="A91" t="s">
        <v>90</v>
      </c>
      <c r="B91">
        <f>IF(ISNA(VLOOKUP(A91,input!$B$14:$B$56,1,0)),0,1)</f>
        <v>0</v>
      </c>
    </row>
    <row r="92" spans="1:2" x14ac:dyDescent="0.2">
      <c r="A92" t="s">
        <v>91</v>
      </c>
      <c r="B92">
        <f>IF(ISNA(VLOOKUP(A92,input!$B$14:$B$56,1,0)),0,1)</f>
        <v>0</v>
      </c>
    </row>
    <row r="93" spans="1:2" x14ac:dyDescent="0.2">
      <c r="A93" t="s">
        <v>92</v>
      </c>
      <c r="B93">
        <f>IF(ISNA(VLOOKUP(A93,input!$B$14:$B$56,1,0)),0,1)</f>
        <v>0</v>
      </c>
    </row>
    <row r="94" spans="1:2" x14ac:dyDescent="0.2">
      <c r="A94" t="s">
        <v>93</v>
      </c>
      <c r="B94">
        <f>IF(ISNA(VLOOKUP(A94,input!$B$14:$B$56,1,0)),0,1)</f>
        <v>0</v>
      </c>
    </row>
    <row r="95" spans="1:2" x14ac:dyDescent="0.2">
      <c r="A95" t="s">
        <v>94</v>
      </c>
      <c r="B95">
        <f>IF(ISNA(VLOOKUP(A95,input!$B$14:$B$56,1,0)),0,1)</f>
        <v>0</v>
      </c>
    </row>
    <row r="96" spans="1:2" x14ac:dyDescent="0.2">
      <c r="A96" t="s">
        <v>95</v>
      </c>
      <c r="B96">
        <f>IF(ISNA(VLOOKUP(A96,input!$B$14:$B$56,1,0)),0,1)</f>
        <v>0</v>
      </c>
    </row>
    <row r="97" spans="1:2" x14ac:dyDescent="0.2">
      <c r="A97" t="s">
        <v>96</v>
      </c>
      <c r="B97">
        <f>IF(ISNA(VLOOKUP(A97,input!$B$14:$B$56,1,0)),0,1)</f>
        <v>0</v>
      </c>
    </row>
    <row r="98" spans="1:2" x14ac:dyDescent="0.2">
      <c r="A98" t="s">
        <v>97</v>
      </c>
      <c r="B98">
        <f>IF(ISNA(VLOOKUP(A98,input!$B$14:$B$56,1,0)),0,1)</f>
        <v>0</v>
      </c>
    </row>
    <row r="99" spans="1:2" x14ac:dyDescent="0.2">
      <c r="A99" t="s">
        <v>98</v>
      </c>
      <c r="B99">
        <f>IF(ISNA(VLOOKUP(A99,input!$B$14:$B$56,1,0)),0,1)</f>
        <v>0</v>
      </c>
    </row>
    <row r="100" spans="1:2" x14ac:dyDescent="0.2">
      <c r="A100" t="s">
        <v>99</v>
      </c>
      <c r="B100">
        <f>IF(ISNA(VLOOKUP(A100,input!$B$14:$B$56,1,0)),0,1)</f>
        <v>0</v>
      </c>
    </row>
    <row r="101" spans="1:2" x14ac:dyDescent="0.2">
      <c r="A101" t="s">
        <v>100</v>
      </c>
      <c r="B101">
        <f>IF(ISNA(VLOOKUP(A101,input!$B$14:$B$56,1,0)),0,1)</f>
        <v>0</v>
      </c>
    </row>
    <row r="102" spans="1:2" x14ac:dyDescent="0.2">
      <c r="A102" t="s">
        <v>101</v>
      </c>
      <c r="B102">
        <f>IF(ISNA(VLOOKUP(A102,input!$B$14:$B$56,1,0)),0,1)</f>
        <v>0</v>
      </c>
    </row>
    <row r="103" spans="1:2" x14ac:dyDescent="0.2">
      <c r="A103" t="s">
        <v>102</v>
      </c>
      <c r="B103">
        <f>IF(ISNA(VLOOKUP(A103,input!$B$14:$B$56,1,0)),0,1)</f>
        <v>0</v>
      </c>
    </row>
    <row r="104" spans="1:2" x14ac:dyDescent="0.2">
      <c r="A104" t="s">
        <v>103</v>
      </c>
      <c r="B104">
        <f>IF(ISNA(VLOOKUP(A104,input!$B$14:$B$56,1,0)),0,1)</f>
        <v>0</v>
      </c>
    </row>
    <row r="105" spans="1:2" x14ac:dyDescent="0.2">
      <c r="A105" t="s">
        <v>104</v>
      </c>
      <c r="B105">
        <f>IF(ISNA(VLOOKUP(A105,input!$B$14:$B$56,1,0)),0,1)</f>
        <v>0</v>
      </c>
    </row>
    <row r="106" spans="1:2" x14ac:dyDescent="0.2">
      <c r="A106" t="s">
        <v>105</v>
      </c>
      <c r="B106">
        <f>IF(ISNA(VLOOKUP(A106,input!$B$14:$B$56,1,0)),0,1)</f>
        <v>0</v>
      </c>
    </row>
    <row r="107" spans="1:2" x14ac:dyDescent="0.2">
      <c r="A107" t="s">
        <v>106</v>
      </c>
      <c r="B107">
        <f>IF(ISNA(VLOOKUP(A107,input!$B$14:$B$56,1,0)),0,1)</f>
        <v>0</v>
      </c>
    </row>
    <row r="108" spans="1:2" x14ac:dyDescent="0.2">
      <c r="A108" t="s">
        <v>107</v>
      </c>
      <c r="B108">
        <f>IF(ISNA(VLOOKUP(A108,input!$B$14:$B$56,1,0)),0,1)</f>
        <v>0</v>
      </c>
    </row>
    <row r="109" spans="1:2" x14ac:dyDescent="0.2">
      <c r="A109" t="s">
        <v>108</v>
      </c>
      <c r="B109">
        <f>IF(ISNA(VLOOKUP(A109,input!$B$14:$B$56,1,0)),0,1)</f>
        <v>0</v>
      </c>
    </row>
    <row r="110" spans="1:2" x14ac:dyDescent="0.2">
      <c r="A110" t="s">
        <v>109</v>
      </c>
      <c r="B110">
        <f>IF(ISNA(VLOOKUP(A110,input!$B$14:$B$56,1,0)),0,1)</f>
        <v>0</v>
      </c>
    </row>
    <row r="111" spans="1:2" x14ac:dyDescent="0.2">
      <c r="A111" t="s">
        <v>110</v>
      </c>
      <c r="B111">
        <f>IF(ISNA(VLOOKUP(A111,input!$B$14:$B$56,1,0)),0,1)</f>
        <v>0</v>
      </c>
    </row>
    <row r="112" spans="1:2" x14ac:dyDescent="0.2">
      <c r="A112" t="s">
        <v>111</v>
      </c>
      <c r="B112">
        <f>IF(ISNA(VLOOKUP(A112,input!$B$14:$B$56,1,0)),0,1)</f>
        <v>0</v>
      </c>
    </row>
    <row r="113" spans="1:2" x14ac:dyDescent="0.2">
      <c r="A113" t="s">
        <v>112</v>
      </c>
      <c r="B113">
        <f>IF(ISNA(VLOOKUP(A113,input!$B$14:$B$56,1,0)),0,1)</f>
        <v>0</v>
      </c>
    </row>
    <row r="114" spans="1:2" x14ac:dyDescent="0.2">
      <c r="A114" t="s">
        <v>113</v>
      </c>
      <c r="B114">
        <f>IF(ISNA(VLOOKUP(A114,input!$B$14:$B$56,1,0)),0,1)</f>
        <v>0</v>
      </c>
    </row>
    <row r="115" spans="1:2" x14ac:dyDescent="0.2">
      <c r="A115" t="s">
        <v>114</v>
      </c>
      <c r="B115">
        <f>IF(ISNA(VLOOKUP(A115,input!$B$14:$B$56,1,0)),0,1)</f>
        <v>0</v>
      </c>
    </row>
    <row r="116" spans="1:2" x14ac:dyDescent="0.2">
      <c r="A116" t="s">
        <v>115</v>
      </c>
      <c r="B116">
        <f>IF(ISNA(VLOOKUP(A116,input!$B$14:$B$56,1,0)),0,1)</f>
        <v>0</v>
      </c>
    </row>
    <row r="117" spans="1:2" x14ac:dyDescent="0.2">
      <c r="A117" t="s">
        <v>116</v>
      </c>
      <c r="B117">
        <f>IF(ISNA(VLOOKUP(A117,input!$B$14:$B$56,1,0)),0,1)</f>
        <v>0</v>
      </c>
    </row>
    <row r="118" spans="1:2" x14ac:dyDescent="0.2">
      <c r="A118" t="s">
        <v>117</v>
      </c>
      <c r="B118">
        <f>IF(ISNA(VLOOKUP(A118,input!$B$14:$B$56,1,0)),0,1)</f>
        <v>0</v>
      </c>
    </row>
    <row r="119" spans="1:2" x14ac:dyDescent="0.2">
      <c r="A119" t="s">
        <v>118</v>
      </c>
      <c r="B119">
        <f>IF(ISNA(VLOOKUP(A119,input!$B$14:$B$56,1,0)),0,1)</f>
        <v>0</v>
      </c>
    </row>
    <row r="120" spans="1:2" x14ac:dyDescent="0.2">
      <c r="A120" t="s">
        <v>119</v>
      </c>
      <c r="B120">
        <f>IF(ISNA(VLOOKUP(A120,input!$B$14:$B$56,1,0)),0,1)</f>
        <v>0</v>
      </c>
    </row>
    <row r="121" spans="1:2" x14ac:dyDescent="0.2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7"/>
  </sheetPr>
  <dimension ref="A1:B121"/>
  <sheetViews>
    <sheetView workbookViewId="0">
      <selection activeCell="E29" sqref="E29"/>
    </sheetView>
  </sheetViews>
  <sheetFormatPr baseColWidth="10" defaultColWidth="11" defaultRowHeight="16" x14ac:dyDescent="0.2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1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1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1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">
      <c r="A32" t="s">
        <v>31</v>
      </c>
      <c r="B32">
        <f>IF(ISNA(VLOOKUP(A32,input!$B$3:$B$11,1,0)),0,1)</f>
        <v>0</v>
      </c>
    </row>
    <row r="33" spans="1:2" x14ac:dyDescent="0.2">
      <c r="A33" t="s">
        <v>32</v>
      </c>
      <c r="B33">
        <f>IF(ISNA(VLOOKUP(A33,input!$B$3:$B$11,1,0)),0,1)</f>
        <v>0</v>
      </c>
    </row>
    <row r="34" spans="1:2" x14ac:dyDescent="0.2">
      <c r="A34" t="s">
        <v>33</v>
      </c>
      <c r="B34">
        <f>IF(ISNA(VLOOKUP(A34,input!$B$3:$B$11,1,0)),0,1)</f>
        <v>1</v>
      </c>
    </row>
    <row r="35" spans="1:2" x14ac:dyDescent="0.2">
      <c r="A35" t="s">
        <v>34</v>
      </c>
      <c r="B35">
        <f>IF(ISNA(VLOOKUP(A35,input!$B$3:$B$11,1,0)),0,1)</f>
        <v>0</v>
      </c>
    </row>
    <row r="36" spans="1:2" x14ac:dyDescent="0.2">
      <c r="A36" t="s">
        <v>35</v>
      </c>
      <c r="B36">
        <f>IF(ISNA(VLOOKUP(A36,input!$B$3:$B$11,1,0)),0,1)</f>
        <v>0</v>
      </c>
    </row>
    <row r="37" spans="1:2" x14ac:dyDescent="0.2">
      <c r="A37" t="s">
        <v>36</v>
      </c>
      <c r="B37">
        <f>IF(ISNA(VLOOKUP(A37,input!$B$3:$B$11,1,0)),0,1)</f>
        <v>0</v>
      </c>
    </row>
    <row r="38" spans="1:2" x14ac:dyDescent="0.2">
      <c r="A38" t="s">
        <v>37</v>
      </c>
      <c r="B38">
        <f>IF(ISNA(VLOOKUP(A38,input!$B$3:$B$11,1,0)),0,1)</f>
        <v>0</v>
      </c>
    </row>
    <row r="39" spans="1:2" x14ac:dyDescent="0.2">
      <c r="A39" t="s">
        <v>38</v>
      </c>
      <c r="B39">
        <f>IF(ISNA(VLOOKUP(A39,input!$B$3:$B$11,1,0)),0,1)</f>
        <v>0</v>
      </c>
    </row>
    <row r="40" spans="1:2" x14ac:dyDescent="0.2">
      <c r="A40" t="s">
        <v>39</v>
      </c>
      <c r="B40">
        <f>IF(ISNA(VLOOKUP(A40,input!$B$3:$B$11,1,0)),0,1)</f>
        <v>0</v>
      </c>
    </row>
    <row r="41" spans="1:2" x14ac:dyDescent="0.2">
      <c r="A41" t="s">
        <v>40</v>
      </c>
      <c r="B41">
        <f>IF(ISNA(VLOOKUP(A41,input!$B$3:$B$11,1,0)),0,1)</f>
        <v>0</v>
      </c>
    </row>
    <row r="42" spans="1:2" x14ac:dyDescent="0.2">
      <c r="A42" t="s">
        <v>41</v>
      </c>
      <c r="B42">
        <f>IF(ISNA(VLOOKUP(A42,input!$B$3:$B$11,1,0)),0,1)</f>
        <v>0</v>
      </c>
    </row>
    <row r="43" spans="1:2" x14ac:dyDescent="0.2">
      <c r="A43" t="s">
        <v>42</v>
      </c>
      <c r="B43">
        <f>IF(ISNA(VLOOKUP(A43,input!$B$3:$B$11,1,0)),0,1)</f>
        <v>0</v>
      </c>
    </row>
    <row r="44" spans="1:2" x14ac:dyDescent="0.2">
      <c r="A44" t="s">
        <v>43</v>
      </c>
      <c r="B44">
        <f>IF(ISNA(VLOOKUP(A44,input!$B$3:$B$11,1,0)),0,1)</f>
        <v>0</v>
      </c>
    </row>
    <row r="45" spans="1:2" x14ac:dyDescent="0.2">
      <c r="A45" t="s">
        <v>44</v>
      </c>
      <c r="B45">
        <f>IF(ISNA(VLOOKUP(A45,input!$B$3:$B$11,1,0)),0,1)</f>
        <v>0</v>
      </c>
    </row>
    <row r="46" spans="1:2" x14ac:dyDescent="0.2">
      <c r="A46" t="s">
        <v>45</v>
      </c>
      <c r="B46">
        <f>IF(ISNA(VLOOKUP(A46,input!$B$3:$B$11,1,0)),0,1)</f>
        <v>0</v>
      </c>
    </row>
    <row r="47" spans="1:2" x14ac:dyDescent="0.2">
      <c r="A47" t="s">
        <v>46</v>
      </c>
      <c r="B47">
        <f>IF(ISNA(VLOOKUP(A47,input!$B$3:$B$11,1,0)),0,1)</f>
        <v>0</v>
      </c>
    </row>
    <row r="48" spans="1:2" x14ac:dyDescent="0.2">
      <c r="A48" t="s">
        <v>47</v>
      </c>
      <c r="B48">
        <f>IF(ISNA(VLOOKUP(A48,input!$B$3:$B$11,1,0)),0,1)</f>
        <v>0</v>
      </c>
    </row>
    <row r="49" spans="1:2" x14ac:dyDescent="0.2">
      <c r="A49" t="s">
        <v>48</v>
      </c>
      <c r="B49">
        <f>IF(ISNA(VLOOKUP(A49,input!$B$3:$B$11,1,0)),0,1)</f>
        <v>0</v>
      </c>
    </row>
    <row r="50" spans="1:2" x14ac:dyDescent="0.2">
      <c r="A50" t="s">
        <v>49</v>
      </c>
      <c r="B50">
        <f>IF(ISNA(VLOOKUP(A50,input!$B$3:$B$11,1,0)),0,1)</f>
        <v>0</v>
      </c>
    </row>
    <row r="51" spans="1:2" x14ac:dyDescent="0.2">
      <c r="A51" t="s">
        <v>50</v>
      </c>
      <c r="B51">
        <f>IF(ISNA(VLOOKUP(A51,input!$B$3:$B$11,1,0)),0,1)</f>
        <v>0</v>
      </c>
    </row>
    <row r="52" spans="1:2" x14ac:dyDescent="0.2">
      <c r="A52" t="s">
        <v>51</v>
      </c>
      <c r="B52">
        <f>IF(ISNA(VLOOKUP(A52,input!$B$3:$B$11,1,0)),0,1)</f>
        <v>0</v>
      </c>
    </row>
    <row r="53" spans="1:2" x14ac:dyDescent="0.2">
      <c r="A53" t="s">
        <v>52</v>
      </c>
      <c r="B53">
        <f>IF(ISNA(VLOOKUP(A53,input!$B$3:$B$11,1,0)),0,1)</f>
        <v>0</v>
      </c>
    </row>
    <row r="54" spans="1:2" x14ac:dyDescent="0.2">
      <c r="A54" t="s">
        <v>53</v>
      </c>
      <c r="B54">
        <f>IF(ISNA(VLOOKUP(A54,input!$B$3:$B$11,1,0)),0,1)</f>
        <v>0</v>
      </c>
    </row>
    <row r="55" spans="1:2" x14ac:dyDescent="0.2">
      <c r="A55" t="s">
        <v>54</v>
      </c>
      <c r="B55">
        <f>IF(ISNA(VLOOKUP(A55,input!$B$3:$B$11,1,0)),0,1)</f>
        <v>0</v>
      </c>
    </row>
    <row r="56" spans="1:2" x14ac:dyDescent="0.2">
      <c r="A56" t="s">
        <v>55</v>
      </c>
      <c r="B56">
        <f>IF(ISNA(VLOOKUP(A56,input!$B$3:$B$11,1,0)),0,1)</f>
        <v>0</v>
      </c>
    </row>
    <row r="57" spans="1:2" x14ac:dyDescent="0.2">
      <c r="A57" t="s">
        <v>56</v>
      </c>
      <c r="B57">
        <f>IF(ISNA(VLOOKUP(A57,input!$B$3:$B$11,1,0)),0,1)</f>
        <v>0</v>
      </c>
    </row>
    <row r="58" spans="1:2" x14ac:dyDescent="0.2">
      <c r="A58" t="s">
        <v>57</v>
      </c>
      <c r="B58">
        <f>IF(ISNA(VLOOKUP(A58,input!$B$3:$B$11,1,0)),0,1)</f>
        <v>0</v>
      </c>
    </row>
    <row r="59" spans="1:2" x14ac:dyDescent="0.2">
      <c r="A59" t="s">
        <v>58</v>
      </c>
      <c r="B59">
        <f>IF(ISNA(VLOOKUP(A59,input!$B$3:$B$11,1,0)),0,1)</f>
        <v>0</v>
      </c>
    </row>
    <row r="60" spans="1:2" x14ac:dyDescent="0.2">
      <c r="A60" t="s">
        <v>59</v>
      </c>
      <c r="B60">
        <f>IF(ISNA(VLOOKUP(A60,input!$B$3:$B$11,1,0)),0,1)</f>
        <v>0</v>
      </c>
    </row>
    <row r="61" spans="1:2" x14ac:dyDescent="0.2">
      <c r="A61" t="s">
        <v>60</v>
      </c>
      <c r="B61">
        <f>IF(ISNA(VLOOKUP(A61,input!$B$3:$B$11,1,0)),0,1)</f>
        <v>0</v>
      </c>
    </row>
    <row r="62" spans="1:2" x14ac:dyDescent="0.2">
      <c r="A62" t="s">
        <v>61</v>
      </c>
      <c r="B62">
        <f>IF(ISNA(VLOOKUP(A62,input!$B$3:$B$11,1,0)),0,1)</f>
        <v>0</v>
      </c>
    </row>
    <row r="63" spans="1:2" x14ac:dyDescent="0.2">
      <c r="A63" t="s">
        <v>62</v>
      </c>
      <c r="B63">
        <f>IF(ISNA(VLOOKUP(A63,input!$B$3:$B$11,1,0)),0,1)</f>
        <v>0</v>
      </c>
    </row>
    <row r="64" spans="1:2" x14ac:dyDescent="0.2">
      <c r="A64" t="s">
        <v>63</v>
      </c>
      <c r="B64">
        <f>IF(ISNA(VLOOKUP(A64,input!$B$3:$B$11,1,0)),0,1)</f>
        <v>0</v>
      </c>
    </row>
    <row r="65" spans="1:2" x14ac:dyDescent="0.2">
      <c r="A65" t="s">
        <v>64</v>
      </c>
      <c r="B65">
        <f>IF(ISNA(VLOOKUP(A65,input!$B$3:$B$11,1,0)),0,1)</f>
        <v>0</v>
      </c>
    </row>
    <row r="66" spans="1:2" x14ac:dyDescent="0.2">
      <c r="A66" t="s">
        <v>65</v>
      </c>
      <c r="B66">
        <f>IF(ISNA(VLOOKUP(A66,input!$B$3:$B$11,1,0)),0,1)</f>
        <v>0</v>
      </c>
    </row>
    <row r="67" spans="1:2" x14ac:dyDescent="0.2">
      <c r="A67" t="s">
        <v>66</v>
      </c>
      <c r="B67">
        <f>IF(ISNA(VLOOKUP(A67,input!$B$3:$B$11,1,0)),0,1)</f>
        <v>0</v>
      </c>
    </row>
    <row r="68" spans="1:2" x14ac:dyDescent="0.2">
      <c r="A68" t="s">
        <v>67</v>
      </c>
      <c r="B68">
        <f>IF(ISNA(VLOOKUP(A68,input!$B$3:$B$11,1,0)),0,1)</f>
        <v>0</v>
      </c>
    </row>
    <row r="69" spans="1:2" x14ac:dyDescent="0.2">
      <c r="A69" t="s">
        <v>68</v>
      </c>
      <c r="B69">
        <f>IF(ISNA(VLOOKUP(A69,input!$B$3:$B$11,1,0)),0,1)</f>
        <v>0</v>
      </c>
    </row>
    <row r="70" spans="1:2" x14ac:dyDescent="0.2">
      <c r="A70" t="s">
        <v>69</v>
      </c>
      <c r="B70">
        <f>IF(ISNA(VLOOKUP(A70,input!$B$3:$B$11,1,0)),0,1)</f>
        <v>0</v>
      </c>
    </row>
    <row r="71" spans="1:2" x14ac:dyDescent="0.2">
      <c r="A71" t="s">
        <v>70</v>
      </c>
      <c r="B71">
        <f>IF(ISNA(VLOOKUP(A71,input!$B$3:$B$11,1,0)),0,1)</f>
        <v>0</v>
      </c>
    </row>
    <row r="72" spans="1:2" x14ac:dyDescent="0.2">
      <c r="A72" t="s">
        <v>71</v>
      </c>
      <c r="B72">
        <f>IF(ISNA(VLOOKUP(A72,input!$B$3:$B$11,1,0)),0,1)</f>
        <v>0</v>
      </c>
    </row>
    <row r="73" spans="1:2" x14ac:dyDescent="0.2">
      <c r="A73" t="s">
        <v>72</v>
      </c>
      <c r="B73">
        <f>IF(ISNA(VLOOKUP(A73,input!$B$3:$B$11,1,0)),0,1)</f>
        <v>0</v>
      </c>
    </row>
    <row r="74" spans="1:2" x14ac:dyDescent="0.2">
      <c r="A74" t="s">
        <v>73</v>
      </c>
      <c r="B74">
        <f>IF(ISNA(VLOOKUP(A74,input!$B$3:$B$11,1,0)),0,1)</f>
        <v>0</v>
      </c>
    </row>
    <row r="75" spans="1:2" x14ac:dyDescent="0.2">
      <c r="A75" t="s">
        <v>74</v>
      </c>
      <c r="B75">
        <f>IF(ISNA(VLOOKUP(A75,input!$B$3:$B$11,1,0)),0,1)</f>
        <v>0</v>
      </c>
    </row>
    <row r="76" spans="1:2" x14ac:dyDescent="0.2">
      <c r="A76" t="s">
        <v>75</v>
      </c>
      <c r="B76">
        <f>IF(ISNA(VLOOKUP(A76,input!$B$3:$B$11,1,0)),0,1)</f>
        <v>0</v>
      </c>
    </row>
    <row r="77" spans="1:2" x14ac:dyDescent="0.2">
      <c r="A77" t="s">
        <v>76</v>
      </c>
      <c r="B77">
        <f>IF(ISNA(VLOOKUP(A77,input!$B$3:$B$11,1,0)),0,1)</f>
        <v>0</v>
      </c>
    </row>
    <row r="78" spans="1:2" x14ac:dyDescent="0.2">
      <c r="A78" t="s">
        <v>77</v>
      </c>
      <c r="B78">
        <f>IF(ISNA(VLOOKUP(A78,input!$B$3:$B$11,1,0)),0,1)</f>
        <v>0</v>
      </c>
    </row>
    <row r="79" spans="1:2" x14ac:dyDescent="0.2">
      <c r="A79" t="s">
        <v>78</v>
      </c>
      <c r="B79">
        <f>IF(ISNA(VLOOKUP(A79,input!$B$3:$B$11,1,0)),0,1)</f>
        <v>0</v>
      </c>
    </row>
    <row r="80" spans="1:2" x14ac:dyDescent="0.2">
      <c r="A80" t="s">
        <v>79</v>
      </c>
      <c r="B80">
        <f>IF(ISNA(VLOOKUP(A80,input!$B$3:$B$11,1,0)),0,1)</f>
        <v>0</v>
      </c>
    </row>
    <row r="81" spans="1:2" x14ac:dyDescent="0.2">
      <c r="A81" t="s">
        <v>80</v>
      </c>
      <c r="B81">
        <f>IF(ISNA(VLOOKUP(A81,input!$B$3:$B$11,1,0)),0,1)</f>
        <v>1</v>
      </c>
    </row>
    <row r="82" spans="1:2" x14ac:dyDescent="0.2">
      <c r="A82" t="s">
        <v>81</v>
      </c>
      <c r="B82">
        <f>IF(ISNA(VLOOKUP(A82,input!$B$3:$B$11,1,0)),0,1)</f>
        <v>0</v>
      </c>
    </row>
    <row r="83" spans="1:2" x14ac:dyDescent="0.2">
      <c r="A83" t="s">
        <v>82</v>
      </c>
      <c r="B83">
        <f>IF(ISNA(VLOOKUP(A83,input!$B$3:$B$11,1,0)),0,1)</f>
        <v>0</v>
      </c>
    </row>
    <row r="84" spans="1:2" x14ac:dyDescent="0.2">
      <c r="A84" t="s">
        <v>83</v>
      </c>
      <c r="B84">
        <f>IF(ISNA(VLOOKUP(A84,input!$B$3:$B$11,1,0)),0,1)</f>
        <v>0</v>
      </c>
    </row>
    <row r="85" spans="1:2" x14ac:dyDescent="0.2">
      <c r="A85" t="s">
        <v>84</v>
      </c>
      <c r="B85">
        <f>IF(ISNA(VLOOKUP(A85,input!$B$3:$B$11,1,0)),0,1)</f>
        <v>0</v>
      </c>
    </row>
    <row r="86" spans="1:2" x14ac:dyDescent="0.2">
      <c r="A86" t="s">
        <v>85</v>
      </c>
      <c r="B86">
        <f>IF(ISNA(VLOOKUP(A86,input!$B$3:$B$11,1,0)),0,1)</f>
        <v>0</v>
      </c>
    </row>
    <row r="87" spans="1:2" x14ac:dyDescent="0.2">
      <c r="A87" t="s">
        <v>86</v>
      </c>
      <c r="B87">
        <f>IF(ISNA(VLOOKUP(A87,input!$B$3:$B$11,1,0)),0,1)</f>
        <v>0</v>
      </c>
    </row>
    <row r="88" spans="1:2" x14ac:dyDescent="0.2">
      <c r="A88" t="s">
        <v>87</v>
      </c>
      <c r="B88">
        <f>IF(ISNA(VLOOKUP(A88,input!$B$3:$B$11,1,0)),0,1)</f>
        <v>0</v>
      </c>
    </row>
    <row r="89" spans="1:2" x14ac:dyDescent="0.2">
      <c r="A89" t="s">
        <v>88</v>
      </c>
      <c r="B89">
        <f>IF(ISNA(VLOOKUP(A89,input!$B$3:$B$11,1,0)),0,1)</f>
        <v>0</v>
      </c>
    </row>
    <row r="90" spans="1:2" x14ac:dyDescent="0.2">
      <c r="A90" t="s">
        <v>89</v>
      </c>
      <c r="B90">
        <f>IF(ISNA(VLOOKUP(A90,input!$B$3:$B$11,1,0)),0,1)</f>
        <v>0</v>
      </c>
    </row>
    <row r="91" spans="1:2" x14ac:dyDescent="0.2">
      <c r="A91" t="s">
        <v>90</v>
      </c>
      <c r="B91">
        <f>IF(ISNA(VLOOKUP(A91,input!$B$3:$B$11,1,0)),0,1)</f>
        <v>0</v>
      </c>
    </row>
    <row r="92" spans="1:2" x14ac:dyDescent="0.2">
      <c r="A92" t="s">
        <v>91</v>
      </c>
      <c r="B92">
        <f>IF(ISNA(VLOOKUP(A92,input!$B$3:$B$11,1,0)),0,1)</f>
        <v>0</v>
      </c>
    </row>
    <row r="93" spans="1:2" x14ac:dyDescent="0.2">
      <c r="A93" t="s">
        <v>92</v>
      </c>
      <c r="B93">
        <f>IF(ISNA(VLOOKUP(A93,input!$B$3:$B$11,1,0)),0,1)</f>
        <v>0</v>
      </c>
    </row>
    <row r="94" spans="1:2" x14ac:dyDescent="0.2">
      <c r="A94" t="s">
        <v>93</v>
      </c>
      <c r="B94">
        <f>IF(ISNA(VLOOKUP(A94,input!$B$3:$B$11,1,0)),0,1)</f>
        <v>0</v>
      </c>
    </row>
    <row r="95" spans="1:2" x14ac:dyDescent="0.2">
      <c r="A95" t="s">
        <v>94</v>
      </c>
      <c r="B95">
        <f>IF(ISNA(VLOOKUP(A95,input!$B$3:$B$11,1,0)),0,1)</f>
        <v>0</v>
      </c>
    </row>
    <row r="96" spans="1:2" x14ac:dyDescent="0.2">
      <c r="A96" t="s">
        <v>95</v>
      </c>
      <c r="B96">
        <f>IF(ISNA(VLOOKUP(A96,input!$B$3:$B$11,1,0)),0,1)</f>
        <v>0</v>
      </c>
    </row>
    <row r="97" spans="1:2" x14ac:dyDescent="0.2">
      <c r="A97" t="s">
        <v>96</v>
      </c>
      <c r="B97">
        <f>IF(ISNA(VLOOKUP(A97,input!$B$3:$B$11,1,0)),0,1)</f>
        <v>0</v>
      </c>
    </row>
    <row r="98" spans="1:2" x14ac:dyDescent="0.2">
      <c r="A98" t="s">
        <v>97</v>
      </c>
      <c r="B98">
        <f>IF(ISNA(VLOOKUP(A98,input!$B$3:$B$11,1,0)),0,1)</f>
        <v>0</v>
      </c>
    </row>
    <row r="99" spans="1:2" x14ac:dyDescent="0.2">
      <c r="A99" t="s">
        <v>98</v>
      </c>
      <c r="B99">
        <f>IF(ISNA(VLOOKUP(A99,input!$B$3:$B$11,1,0)),0,1)</f>
        <v>0</v>
      </c>
    </row>
    <row r="100" spans="1:2" x14ac:dyDescent="0.2">
      <c r="A100" t="s">
        <v>99</v>
      </c>
      <c r="B100">
        <f>IF(ISNA(VLOOKUP(A100,input!$B$3:$B$11,1,0)),0,1)</f>
        <v>1</v>
      </c>
    </row>
    <row r="101" spans="1:2" x14ac:dyDescent="0.2">
      <c r="A101" t="s">
        <v>100</v>
      </c>
      <c r="B101">
        <f>IF(ISNA(VLOOKUP(A101,input!$B$3:$B$11,1,0)),0,1)</f>
        <v>0</v>
      </c>
    </row>
    <row r="102" spans="1:2" x14ac:dyDescent="0.2">
      <c r="A102" t="s">
        <v>101</v>
      </c>
      <c r="B102">
        <f>IF(ISNA(VLOOKUP(A102,input!$B$3:$B$11,1,0)),0,1)</f>
        <v>0</v>
      </c>
    </row>
    <row r="103" spans="1:2" x14ac:dyDescent="0.2">
      <c r="A103" t="s">
        <v>102</v>
      </c>
      <c r="B103">
        <f>IF(ISNA(VLOOKUP(A103,input!$B$3:$B$11,1,0)),0,1)</f>
        <v>0</v>
      </c>
    </row>
    <row r="104" spans="1:2" x14ac:dyDescent="0.2">
      <c r="A104" t="s">
        <v>103</v>
      </c>
      <c r="B104">
        <f>IF(ISNA(VLOOKUP(A104,input!$B$3:$B$11,1,0)),0,1)</f>
        <v>0</v>
      </c>
    </row>
    <row r="105" spans="1:2" x14ac:dyDescent="0.2">
      <c r="A105" t="s">
        <v>104</v>
      </c>
      <c r="B105">
        <f>IF(ISNA(VLOOKUP(A105,input!$B$3:$B$11,1,0)),0,1)</f>
        <v>0</v>
      </c>
    </row>
    <row r="106" spans="1:2" x14ac:dyDescent="0.2">
      <c r="A106" t="s">
        <v>105</v>
      </c>
      <c r="B106">
        <f>IF(ISNA(VLOOKUP(A106,input!$B$3:$B$11,1,0)),0,1)</f>
        <v>0</v>
      </c>
    </row>
    <row r="107" spans="1:2" x14ac:dyDescent="0.2">
      <c r="A107" t="s">
        <v>106</v>
      </c>
      <c r="B107">
        <f>IF(ISNA(VLOOKUP(A107,input!$B$3:$B$11,1,0)),0,1)</f>
        <v>0</v>
      </c>
    </row>
    <row r="108" spans="1:2" x14ac:dyDescent="0.2">
      <c r="A108" t="s">
        <v>107</v>
      </c>
      <c r="B108">
        <f>IF(ISNA(VLOOKUP(A108,input!$B$3:$B$11,1,0)),0,1)</f>
        <v>0</v>
      </c>
    </row>
    <row r="109" spans="1:2" x14ac:dyDescent="0.2">
      <c r="A109" t="s">
        <v>108</v>
      </c>
      <c r="B109">
        <f>IF(ISNA(VLOOKUP(A109,input!$B$3:$B$11,1,0)),0,1)</f>
        <v>0</v>
      </c>
    </row>
    <row r="110" spans="1:2" x14ac:dyDescent="0.2">
      <c r="A110" t="s">
        <v>109</v>
      </c>
      <c r="B110">
        <f>IF(ISNA(VLOOKUP(A110,input!$B$3:$B$11,1,0)),0,1)</f>
        <v>0</v>
      </c>
    </row>
    <row r="111" spans="1:2" x14ac:dyDescent="0.2">
      <c r="A111" t="s">
        <v>110</v>
      </c>
      <c r="B111">
        <f>IF(ISNA(VLOOKUP(A111,input!$B$3:$B$11,1,0)),0,1)</f>
        <v>0</v>
      </c>
    </row>
    <row r="112" spans="1:2" x14ac:dyDescent="0.2">
      <c r="A112" t="s">
        <v>111</v>
      </c>
      <c r="B112">
        <f>IF(ISNA(VLOOKUP(A112,input!$B$3:$B$11,1,0)),0,1)</f>
        <v>0</v>
      </c>
    </row>
    <row r="113" spans="1:2" x14ac:dyDescent="0.2">
      <c r="A113" t="s">
        <v>112</v>
      </c>
      <c r="B113">
        <f>IF(ISNA(VLOOKUP(A113,input!$B$3:$B$11,1,0)),0,1)</f>
        <v>0</v>
      </c>
    </row>
    <row r="114" spans="1:2" x14ac:dyDescent="0.2">
      <c r="A114" t="s">
        <v>113</v>
      </c>
      <c r="B114">
        <f>IF(ISNA(VLOOKUP(A114,input!$B$3:$B$11,1,0)),0,1)</f>
        <v>0</v>
      </c>
    </row>
    <row r="115" spans="1:2" x14ac:dyDescent="0.2">
      <c r="A115" t="s">
        <v>114</v>
      </c>
      <c r="B115">
        <f>IF(ISNA(VLOOKUP(A115,input!$B$3:$B$11,1,0)),0,1)</f>
        <v>0</v>
      </c>
    </row>
    <row r="116" spans="1:2" x14ac:dyDescent="0.2">
      <c r="A116" t="s">
        <v>115</v>
      </c>
      <c r="B116">
        <f>IF(ISNA(VLOOKUP(A116,input!$B$3:$B$11,1,0)),0,1)</f>
        <v>0</v>
      </c>
    </row>
    <row r="117" spans="1:2" x14ac:dyDescent="0.2">
      <c r="A117" t="s">
        <v>116</v>
      </c>
      <c r="B117">
        <f>IF(ISNA(VLOOKUP(A117,input!$B$3:$B$11,1,0)),0,1)</f>
        <v>0</v>
      </c>
    </row>
    <row r="118" spans="1:2" x14ac:dyDescent="0.2">
      <c r="A118" t="s">
        <v>117</v>
      </c>
      <c r="B118">
        <f>IF(ISNA(VLOOKUP(A118,input!$B$3:$B$11,1,0)),0,1)</f>
        <v>0</v>
      </c>
    </row>
    <row r="119" spans="1:2" x14ac:dyDescent="0.2">
      <c r="A119" t="s">
        <v>118</v>
      </c>
      <c r="B119">
        <f>IF(ISNA(VLOOKUP(A119,input!$B$3:$B$11,1,0)),0,1)</f>
        <v>0</v>
      </c>
    </row>
    <row r="120" spans="1:2" x14ac:dyDescent="0.2">
      <c r="A120" t="s">
        <v>119</v>
      </c>
      <c r="B120">
        <f>IF(ISNA(VLOOKUP(A120,input!$B$3:$B$11,1,0)),0,1)</f>
        <v>0</v>
      </c>
    </row>
    <row r="121" spans="1:2" x14ac:dyDescent="0.2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7"/>
  </sheetPr>
  <dimension ref="A1:D469"/>
  <sheetViews>
    <sheetView workbookViewId="0">
      <selection sqref="A1:A469"/>
    </sheetView>
  </sheetViews>
  <sheetFormatPr baseColWidth="10" defaultColWidth="8.83203125" defaultRowHeight="16" x14ac:dyDescent="0.2"/>
  <cols>
    <col min="1" max="1" width="12.6640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IF(B1=0,0,EXP((input!$G$17-B1)*0.25))</f>
        <v>0</v>
      </c>
      <c r="D1">
        <f>C1/SUM($C$1:$C$469)</f>
        <v>0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IF(B2=0,0,EXP((input!$G$17-B2)*0.25))</f>
        <v>0</v>
      </c>
      <c r="D2">
        <f t="shared" ref="D2:D65" si="0">C2/SUM($C$1:$C$469)</f>
        <v>0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IF(B3=0,0,EXP((input!$G$17-B3)*0.25))</f>
        <v>0</v>
      </c>
      <c r="D3">
        <f t="shared" si="0"/>
        <v>0</v>
      </c>
    </row>
    <row r="4" spans="1:4" x14ac:dyDescent="0.25">
      <c r="A4" s="3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IF(B4=0,0,EXP((input!$G$17-B4)*0.25))</f>
        <v>0</v>
      </c>
      <c r="D4">
        <f t="shared" si="0"/>
        <v>0</v>
      </c>
    </row>
    <row r="5" spans="1:4" x14ac:dyDescent="0.25">
      <c r="A5" s="3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IF(B5=0,0,EXP((input!$G$17-B5)*0.25))</f>
        <v>0</v>
      </c>
      <c r="D5">
        <f t="shared" si="0"/>
        <v>0</v>
      </c>
    </row>
    <row r="6" spans="1:4" x14ac:dyDescent="0.25">
      <c r="A6" s="3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IF(B6=0,0,EXP((input!$G$17-B6)*0.25))</f>
        <v>0</v>
      </c>
      <c r="D6">
        <f t="shared" si="0"/>
        <v>0</v>
      </c>
    </row>
    <row r="7" spans="1:4" x14ac:dyDescent="0.25">
      <c r="A7" s="3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IF(B7=0,0,EXP((input!$G$17-B7)*0.25))</f>
        <v>0</v>
      </c>
      <c r="D7">
        <f t="shared" si="0"/>
        <v>0</v>
      </c>
    </row>
    <row r="8" spans="1:4" x14ac:dyDescent="0.25">
      <c r="A8" s="3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IF(B8=0,0,EXP((input!$G$17-B8)*0.25))</f>
        <v>0</v>
      </c>
      <c r="D8">
        <f t="shared" si="0"/>
        <v>0</v>
      </c>
    </row>
    <row r="9" spans="1:4" x14ac:dyDescent="0.25">
      <c r="A9" s="3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IF(B9=0,0,EXP((input!$G$17-B9)*0.25))</f>
        <v>0</v>
      </c>
      <c r="D9">
        <f t="shared" si="0"/>
        <v>0</v>
      </c>
    </row>
    <row r="10" spans="1:4" x14ac:dyDescent="0.25">
      <c r="A10" s="3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IF(B10=0,0,EXP((input!$G$17-B10)*0.25))</f>
        <v>0</v>
      </c>
      <c r="D10">
        <f t="shared" si="0"/>
        <v>0</v>
      </c>
    </row>
    <row r="11" spans="1:4" x14ac:dyDescent="0.25">
      <c r="A11" s="3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IF(B11=0,0,EXP((input!$G$17-B11)*0.25))</f>
        <v>0</v>
      </c>
      <c r="D11">
        <f t="shared" si="0"/>
        <v>0</v>
      </c>
    </row>
    <row r="12" spans="1:4" x14ac:dyDescent="0.25">
      <c r="A12" s="3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IF(B12=0,0,EXP((input!$G$17-B12)*0.25))</f>
        <v>0</v>
      </c>
      <c r="D12">
        <f t="shared" si="0"/>
        <v>0</v>
      </c>
    </row>
    <row r="13" spans="1:4" x14ac:dyDescent="0.25">
      <c r="A13" s="3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IF(B13=0,0,EXP((input!$G$17-B13)*0.25))</f>
        <v>0</v>
      </c>
      <c r="D13">
        <f t="shared" si="0"/>
        <v>0</v>
      </c>
    </row>
    <row r="14" spans="1:4" x14ac:dyDescent="0.25">
      <c r="A14" s="3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IF(B14=0,0,EXP((input!$G$17-B14)*0.25))</f>
        <v>0</v>
      </c>
      <c r="D14">
        <f t="shared" si="0"/>
        <v>0</v>
      </c>
    </row>
    <row r="15" spans="1:4" x14ac:dyDescent="0.25">
      <c r="A15" s="3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IF(B15=0,0,EXP((input!$G$17-B15)*0.25))</f>
        <v>0</v>
      </c>
      <c r="D15">
        <f t="shared" si="0"/>
        <v>0</v>
      </c>
    </row>
    <row r="16" spans="1:4" x14ac:dyDescent="0.25">
      <c r="A16" s="3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IF(B16=0,0,EXP((input!$G$17-B16)*0.25))</f>
        <v>0</v>
      </c>
      <c r="D16">
        <f t="shared" si="0"/>
        <v>0</v>
      </c>
    </row>
    <row r="17" spans="1:4" x14ac:dyDescent="0.25">
      <c r="A17" s="3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IF(B17=0,0,EXP((input!$G$17-B17)*0.25))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IF(B18=0,0,EXP((input!$G$17-B18)*0.25))</f>
        <v>0</v>
      </c>
      <c r="D18">
        <f t="shared" si="0"/>
        <v>0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IF(B19=0,0,EXP((input!$G$17-B19)*0.25))</f>
        <v>0</v>
      </c>
      <c r="D19">
        <f t="shared" si="0"/>
        <v>0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IF(B20=0,0,EXP((input!$G$17-B20)*0.25))</f>
        <v>0</v>
      </c>
      <c r="D20">
        <f t="shared" si="0"/>
        <v>0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1</v>
      </c>
      <c r="C21">
        <f>IF(B21=0,0,EXP((input!$G$17-B21)*0.25))</f>
        <v>162754.79141900392</v>
      </c>
      <c r="D21">
        <f t="shared" si="0"/>
        <v>0.31002200989605111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0</v>
      </c>
      <c r="C22">
        <f>IF(B22=0,0,EXP((input!$G$17-B22)*0.25))</f>
        <v>0</v>
      </c>
      <c r="D22">
        <f t="shared" si="0"/>
        <v>0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0</v>
      </c>
      <c r="C23">
        <f>IF(B23=0,0,EXP((input!$G$17-B23)*0.25))</f>
        <v>0</v>
      </c>
      <c r="D23">
        <f t="shared" si="0"/>
        <v>0</v>
      </c>
    </row>
    <row r="24" spans="1:4" x14ac:dyDescent="0.25">
      <c r="A24" s="3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IF(B24=0,0,EXP((input!$G$17-B24)*0.25))</f>
        <v>0</v>
      </c>
      <c r="D24">
        <f t="shared" si="0"/>
        <v>0</v>
      </c>
    </row>
    <row r="25" spans="1:4" x14ac:dyDescent="0.25">
      <c r="A25" s="3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IF(B25=0,0,EXP((input!$G$17-B25)*0.25))</f>
        <v>0</v>
      </c>
      <c r="D25">
        <f t="shared" si="0"/>
        <v>0</v>
      </c>
    </row>
    <row r="26" spans="1:4" x14ac:dyDescent="0.25">
      <c r="A26" s="3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IF(B26=0,0,EXP((input!$G$17-B26)*0.25))</f>
        <v>0</v>
      </c>
      <c r="D26">
        <f t="shared" si="0"/>
        <v>0</v>
      </c>
    </row>
    <row r="27" spans="1:4" x14ac:dyDescent="0.25">
      <c r="A27" s="3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IF(B27=0,0,EXP((input!$G$17-B27)*0.25))</f>
        <v>0</v>
      </c>
      <c r="D27">
        <f t="shared" si="0"/>
        <v>0</v>
      </c>
    </row>
    <row r="28" spans="1:4" x14ac:dyDescent="0.25">
      <c r="A28" s="3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IF(B28=0,0,EXP((input!$G$17-B28)*0.25))</f>
        <v>0</v>
      </c>
      <c r="D28">
        <f t="shared" si="0"/>
        <v>0</v>
      </c>
    </row>
    <row r="29" spans="1:4" x14ac:dyDescent="0.25">
      <c r="A29" s="3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IF(B29=0,0,EXP((input!$G$17-B29)*0.25))</f>
        <v>0</v>
      </c>
      <c r="D29">
        <f t="shared" si="0"/>
        <v>0</v>
      </c>
    </row>
    <row r="30" spans="1:4" x14ac:dyDescent="0.25">
      <c r="A30" s="3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IF(B30=0,0,EXP((input!$G$17-B30)*0.25))</f>
        <v>0</v>
      </c>
      <c r="D30">
        <f t="shared" si="0"/>
        <v>0</v>
      </c>
    </row>
    <row r="31" spans="1:4" x14ac:dyDescent="0.25">
      <c r="A31" s="3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IF(B31=0,0,EXP((input!$G$17-B31)*0.25))</f>
        <v>0</v>
      </c>
      <c r="D31">
        <f t="shared" si="0"/>
        <v>0</v>
      </c>
    </row>
    <row r="32" spans="1:4" x14ac:dyDescent="0.2">
      <c r="A32" s="3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IF(B32=0,0,EXP((input!$G$17-B32)*0.25))</f>
        <v>0</v>
      </c>
      <c r="D32">
        <f t="shared" si="0"/>
        <v>0</v>
      </c>
    </row>
    <row r="33" spans="1:4" x14ac:dyDescent="0.2">
      <c r="A33" s="3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IF(B33=0,0,EXP((input!$G$17-B33)*0.25))</f>
        <v>0</v>
      </c>
      <c r="D33">
        <f t="shared" si="0"/>
        <v>0</v>
      </c>
    </row>
    <row r="34" spans="1:4" x14ac:dyDescent="0.2">
      <c r="A34" s="3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IF(B34=0,0,EXP((input!$G$17-B34)*0.25))</f>
        <v>0</v>
      </c>
      <c r="D34">
        <f t="shared" si="0"/>
        <v>0</v>
      </c>
    </row>
    <row r="35" spans="1:4" x14ac:dyDescent="0.2">
      <c r="A35" s="3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IF(B35=0,0,EXP((input!$G$17-B35)*0.25))</f>
        <v>0</v>
      </c>
      <c r="D35">
        <f t="shared" si="0"/>
        <v>0</v>
      </c>
    </row>
    <row r="36" spans="1:4" x14ac:dyDescent="0.2">
      <c r="A36" s="3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IF(B36=0,0,EXP((input!$G$17-B36)*0.25))</f>
        <v>0</v>
      </c>
      <c r="D36">
        <f t="shared" si="0"/>
        <v>0</v>
      </c>
    </row>
    <row r="37" spans="1:4" x14ac:dyDescent="0.2">
      <c r="A37" s="3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IF(B37=0,0,EXP((input!$G$17-B37)*0.25))</f>
        <v>0</v>
      </c>
      <c r="D37">
        <f t="shared" si="0"/>
        <v>0</v>
      </c>
    </row>
    <row r="38" spans="1:4" x14ac:dyDescent="0.2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IF(B38=0,0,EXP((input!$G$17-B38)*0.25))</f>
        <v>0</v>
      </c>
      <c r="D38">
        <f t="shared" si="0"/>
        <v>0</v>
      </c>
    </row>
    <row r="39" spans="1:4" x14ac:dyDescent="0.2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IF(B39=0,0,EXP((input!$G$17-B39)*0.25))</f>
        <v>0</v>
      </c>
      <c r="D39">
        <f t="shared" si="0"/>
        <v>0</v>
      </c>
    </row>
    <row r="40" spans="1:4" x14ac:dyDescent="0.2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IF(B40=0,0,EXP((input!$G$17-B40)*0.25))</f>
        <v>0</v>
      </c>
      <c r="D40">
        <f t="shared" si="0"/>
        <v>0</v>
      </c>
    </row>
    <row r="41" spans="1:4" x14ac:dyDescent="0.2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IF(B41=0,0,EXP((input!$G$17-B41)*0.25))</f>
        <v>0</v>
      </c>
      <c r="D41">
        <f t="shared" si="0"/>
        <v>0</v>
      </c>
    </row>
    <row r="42" spans="1:4" x14ac:dyDescent="0.2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IF(B42=0,0,EXP((input!$G$17-B42)*0.25))</f>
        <v>0</v>
      </c>
      <c r="D42">
        <f t="shared" si="0"/>
        <v>0</v>
      </c>
    </row>
    <row r="43" spans="1:4" x14ac:dyDescent="0.2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IF(B43=0,0,EXP((input!$G$17-B43)*0.25))</f>
        <v>0</v>
      </c>
      <c r="D43">
        <f t="shared" si="0"/>
        <v>0</v>
      </c>
    </row>
    <row r="44" spans="1:4" x14ac:dyDescent="0.2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IF(B44=0,0,EXP((input!$G$17-B44)*0.25))</f>
        <v>0</v>
      </c>
      <c r="D44">
        <f t="shared" si="0"/>
        <v>0</v>
      </c>
    </row>
    <row r="45" spans="1:4" x14ac:dyDescent="0.2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IF(B45=0,0,EXP((input!$G$17-B45)*0.25))</f>
        <v>0</v>
      </c>
      <c r="D45">
        <f t="shared" si="0"/>
        <v>0</v>
      </c>
    </row>
    <row r="46" spans="1:4" x14ac:dyDescent="0.2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IF(B46=0,0,EXP((input!$G$17-B46)*0.25))</f>
        <v>0</v>
      </c>
      <c r="D46">
        <f t="shared" si="0"/>
        <v>0</v>
      </c>
    </row>
    <row r="47" spans="1:4" x14ac:dyDescent="0.2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IF(B47=0,0,EXP((input!$G$17-B47)*0.25))</f>
        <v>0</v>
      </c>
      <c r="D47">
        <f t="shared" si="0"/>
        <v>0</v>
      </c>
    </row>
    <row r="48" spans="1:4" x14ac:dyDescent="0.2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IF(B48=0,0,EXP((input!$G$17-B48)*0.25))</f>
        <v>0</v>
      </c>
      <c r="D48">
        <f t="shared" si="0"/>
        <v>0</v>
      </c>
    </row>
    <row r="49" spans="1:4" x14ac:dyDescent="0.2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IF(B49=0,0,EXP((input!$G$17-B49)*0.25))</f>
        <v>0</v>
      </c>
      <c r="D49">
        <f t="shared" si="0"/>
        <v>0</v>
      </c>
    </row>
    <row r="50" spans="1:4" x14ac:dyDescent="0.2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IF(B50=0,0,EXP((input!$G$17-B50)*0.25))</f>
        <v>0</v>
      </c>
      <c r="D50">
        <f t="shared" si="0"/>
        <v>0</v>
      </c>
    </row>
    <row r="51" spans="1:4" x14ac:dyDescent="0.2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IF(B51=0,0,EXP((input!$G$17-B51)*0.25))</f>
        <v>0</v>
      </c>
      <c r="D51">
        <f t="shared" si="0"/>
        <v>0</v>
      </c>
    </row>
    <row r="52" spans="1:4" x14ac:dyDescent="0.2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IF(B52=0,0,EXP((input!$G$17-B52)*0.25))</f>
        <v>0</v>
      </c>
      <c r="D52">
        <f t="shared" si="0"/>
        <v>0</v>
      </c>
    </row>
    <row r="53" spans="1:4" x14ac:dyDescent="0.2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IF(B53=0,0,EXP((input!$G$17-B53)*0.25))</f>
        <v>0</v>
      </c>
      <c r="D53">
        <f t="shared" si="0"/>
        <v>0</v>
      </c>
    </row>
    <row r="54" spans="1:4" x14ac:dyDescent="0.2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IF(B54=0,0,EXP((input!$G$17-B54)*0.25))</f>
        <v>0</v>
      </c>
      <c r="D54">
        <f t="shared" si="0"/>
        <v>0</v>
      </c>
    </row>
    <row r="55" spans="1:4" x14ac:dyDescent="0.2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IF(B55=0,0,EXP((input!$G$17-B55)*0.25))</f>
        <v>0</v>
      </c>
      <c r="D55">
        <f t="shared" si="0"/>
        <v>0</v>
      </c>
    </row>
    <row r="56" spans="1:4" x14ac:dyDescent="0.2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IF(B56=0,0,EXP((input!$G$17-B56)*0.25))</f>
        <v>0</v>
      </c>
      <c r="D56">
        <f t="shared" si="0"/>
        <v>0</v>
      </c>
    </row>
    <row r="57" spans="1:4" x14ac:dyDescent="0.2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IF(B57=0,0,EXP((input!$G$17-B57)*0.25))</f>
        <v>0</v>
      </c>
      <c r="D57">
        <f t="shared" si="0"/>
        <v>0</v>
      </c>
    </row>
    <row r="58" spans="1:4" x14ac:dyDescent="0.2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IF(B58=0,0,EXP((input!$G$17-B58)*0.25))</f>
        <v>0</v>
      </c>
      <c r="D58">
        <f t="shared" si="0"/>
        <v>0</v>
      </c>
    </row>
    <row r="59" spans="1:4" x14ac:dyDescent="0.2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IF(B59=0,0,EXP((input!$G$17-B59)*0.25))</f>
        <v>0</v>
      </c>
      <c r="D59">
        <f t="shared" si="0"/>
        <v>0</v>
      </c>
    </row>
    <row r="60" spans="1:4" x14ac:dyDescent="0.2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IF(B60=0,0,EXP((input!$G$17-B60)*0.25))</f>
        <v>0</v>
      </c>
      <c r="D60">
        <f t="shared" si="0"/>
        <v>0</v>
      </c>
    </row>
    <row r="61" spans="1:4" x14ac:dyDescent="0.2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IF(B61=0,0,EXP((input!$G$17-B61)*0.25))</f>
        <v>0</v>
      </c>
      <c r="D61">
        <f t="shared" si="0"/>
        <v>0</v>
      </c>
    </row>
    <row r="62" spans="1:4" x14ac:dyDescent="0.2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IF(B62=0,0,EXP((input!$G$17-B62)*0.25))</f>
        <v>0</v>
      </c>
      <c r="D62">
        <f t="shared" si="0"/>
        <v>0</v>
      </c>
    </row>
    <row r="63" spans="1:4" x14ac:dyDescent="0.2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IF(B63=0,0,EXP((input!$G$17-B63)*0.25))</f>
        <v>0</v>
      </c>
      <c r="D63">
        <f t="shared" si="0"/>
        <v>0</v>
      </c>
    </row>
    <row r="64" spans="1:4" x14ac:dyDescent="0.2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IF(B64=0,0,EXP((input!$G$17-B64)*0.25))</f>
        <v>0</v>
      </c>
      <c r="D64">
        <f t="shared" si="0"/>
        <v>0</v>
      </c>
    </row>
    <row r="65" spans="1:4" x14ac:dyDescent="0.2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IF(B65=0,0,EXP((input!$G$17-B65)*0.25))</f>
        <v>0</v>
      </c>
      <c r="D65">
        <f t="shared" si="0"/>
        <v>0</v>
      </c>
    </row>
    <row r="66" spans="1:4" x14ac:dyDescent="0.2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IF(B66=0,0,EXP((input!$G$17-B66)*0.25))</f>
        <v>0</v>
      </c>
      <c r="D66">
        <f t="shared" ref="D66:D129" si="1">C66/SUM($C$1:$C$469)</f>
        <v>0</v>
      </c>
    </row>
    <row r="67" spans="1:4" x14ac:dyDescent="0.2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IF(B67=0,0,EXP((input!$G$17-B67)*0.25))</f>
        <v>0</v>
      </c>
      <c r="D67">
        <f t="shared" si="1"/>
        <v>0</v>
      </c>
    </row>
    <row r="68" spans="1:4" x14ac:dyDescent="0.2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IF(B68=0,0,EXP((input!$G$17-B68)*0.25))</f>
        <v>0</v>
      </c>
      <c r="D68">
        <f t="shared" si="1"/>
        <v>0</v>
      </c>
    </row>
    <row r="69" spans="1:4" x14ac:dyDescent="0.2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IF(B69=0,0,EXP((input!$G$17-B69)*0.25))</f>
        <v>0</v>
      </c>
      <c r="D69">
        <f t="shared" si="1"/>
        <v>0</v>
      </c>
    </row>
    <row r="70" spans="1:4" x14ac:dyDescent="0.2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IF(B70=0,0,EXP((input!$G$17-B70)*0.25))</f>
        <v>0</v>
      </c>
      <c r="D70">
        <f t="shared" si="1"/>
        <v>0</v>
      </c>
    </row>
    <row r="71" spans="1:4" x14ac:dyDescent="0.2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IF(B71=0,0,EXP((input!$G$17-B71)*0.25))</f>
        <v>0</v>
      </c>
      <c r="D71">
        <f t="shared" si="1"/>
        <v>0</v>
      </c>
    </row>
    <row r="72" spans="1:4" x14ac:dyDescent="0.2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IF(B72=0,0,EXP((input!$G$17-B72)*0.25))</f>
        <v>0</v>
      </c>
      <c r="D72">
        <f t="shared" si="1"/>
        <v>0</v>
      </c>
    </row>
    <row r="73" spans="1:4" x14ac:dyDescent="0.2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IF(B73=0,0,EXP((input!$G$17-B73)*0.25))</f>
        <v>0</v>
      </c>
      <c r="D73">
        <f t="shared" si="1"/>
        <v>0</v>
      </c>
    </row>
    <row r="74" spans="1:4" x14ac:dyDescent="0.2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IF(B74=0,0,EXP((input!$G$17-B74)*0.25))</f>
        <v>0</v>
      </c>
      <c r="D74">
        <f t="shared" si="1"/>
        <v>0</v>
      </c>
    </row>
    <row r="75" spans="1:4" x14ac:dyDescent="0.2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IF(B75=0,0,EXP((input!$G$17-B75)*0.25))</f>
        <v>0</v>
      </c>
      <c r="D75">
        <f t="shared" si="1"/>
        <v>0</v>
      </c>
    </row>
    <row r="76" spans="1:4" x14ac:dyDescent="0.2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IF(B76=0,0,EXP((input!$G$17-B76)*0.25))</f>
        <v>0</v>
      </c>
      <c r="D76">
        <f t="shared" si="1"/>
        <v>0</v>
      </c>
    </row>
    <row r="77" spans="1:4" x14ac:dyDescent="0.2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IF(B77=0,0,EXP((input!$G$17-B77)*0.25))</f>
        <v>0</v>
      </c>
      <c r="D77">
        <f t="shared" si="1"/>
        <v>0</v>
      </c>
    </row>
    <row r="78" spans="1:4" x14ac:dyDescent="0.2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IF(B78=0,0,EXP((input!$G$17-B78)*0.25))</f>
        <v>0</v>
      </c>
      <c r="D78">
        <f t="shared" si="1"/>
        <v>0</v>
      </c>
    </row>
    <row r="79" spans="1:4" x14ac:dyDescent="0.2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IF(B79=0,0,EXP((input!$G$17-B79)*0.25))</f>
        <v>0</v>
      </c>
      <c r="D79">
        <f t="shared" si="1"/>
        <v>0</v>
      </c>
    </row>
    <row r="80" spans="1:4" x14ac:dyDescent="0.2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IF(B80=0,0,EXP((input!$G$17-B80)*0.25))</f>
        <v>0</v>
      </c>
      <c r="D80">
        <f t="shared" si="1"/>
        <v>0</v>
      </c>
    </row>
    <row r="81" spans="1:4" x14ac:dyDescent="0.2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IF(B81=0,0,EXP((input!$G$17-B81)*0.25))</f>
        <v>0</v>
      </c>
      <c r="D81">
        <f t="shared" si="1"/>
        <v>0</v>
      </c>
    </row>
    <row r="82" spans="1:4" x14ac:dyDescent="0.2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IF(B82=0,0,EXP((input!$G$17-B82)*0.25))</f>
        <v>0</v>
      </c>
      <c r="D82">
        <f t="shared" si="1"/>
        <v>0</v>
      </c>
    </row>
    <row r="83" spans="1:4" x14ac:dyDescent="0.2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IF(B83=0,0,EXP((input!$G$17-B83)*0.25))</f>
        <v>0</v>
      </c>
      <c r="D83">
        <f t="shared" si="1"/>
        <v>0</v>
      </c>
    </row>
    <row r="84" spans="1:4" x14ac:dyDescent="0.2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IF(B84=0,0,EXP((input!$G$17-B84)*0.25))</f>
        <v>0</v>
      </c>
      <c r="D84">
        <f t="shared" si="1"/>
        <v>0</v>
      </c>
    </row>
    <row r="85" spans="1:4" x14ac:dyDescent="0.2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IF(B85=0,0,EXP((input!$G$17-B85)*0.25))</f>
        <v>0</v>
      </c>
      <c r="D85">
        <f t="shared" si="1"/>
        <v>0</v>
      </c>
    </row>
    <row r="86" spans="1:4" x14ac:dyDescent="0.2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IF(B86=0,0,EXP((input!$G$17-B86)*0.25))</f>
        <v>0</v>
      </c>
      <c r="D86">
        <f t="shared" si="1"/>
        <v>0</v>
      </c>
    </row>
    <row r="87" spans="1:4" x14ac:dyDescent="0.2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IF(B87=0,0,EXP((input!$G$17-B87)*0.25))</f>
        <v>0</v>
      </c>
      <c r="D87">
        <f t="shared" si="1"/>
        <v>0</v>
      </c>
    </row>
    <row r="88" spans="1:4" x14ac:dyDescent="0.2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IF(B88=0,0,EXP((input!$G$17-B88)*0.25))</f>
        <v>0</v>
      </c>
      <c r="D88">
        <f t="shared" si="1"/>
        <v>0</v>
      </c>
    </row>
    <row r="89" spans="1:4" x14ac:dyDescent="0.2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IF(B89=0,0,EXP((input!$G$17-B89)*0.25))</f>
        <v>0</v>
      </c>
      <c r="D89">
        <f t="shared" si="1"/>
        <v>0</v>
      </c>
    </row>
    <row r="90" spans="1:4" x14ac:dyDescent="0.2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IF(B90=0,0,EXP((input!$G$17-B90)*0.25))</f>
        <v>0</v>
      </c>
      <c r="D90">
        <f t="shared" si="1"/>
        <v>0</v>
      </c>
    </row>
    <row r="91" spans="1:4" x14ac:dyDescent="0.2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IF(B91=0,0,EXP((input!$G$17-B91)*0.25))</f>
        <v>0</v>
      </c>
      <c r="D91">
        <f t="shared" si="1"/>
        <v>0</v>
      </c>
    </row>
    <row r="92" spans="1:4" x14ac:dyDescent="0.2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IF(B92=0,0,EXP((input!$G$17-B92)*0.25))</f>
        <v>0</v>
      </c>
      <c r="D92">
        <f t="shared" si="1"/>
        <v>0</v>
      </c>
    </row>
    <row r="93" spans="1:4" x14ac:dyDescent="0.2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IF(B93=0,0,EXP((input!$G$17-B93)*0.25))</f>
        <v>0</v>
      </c>
      <c r="D93">
        <f t="shared" si="1"/>
        <v>0</v>
      </c>
    </row>
    <row r="94" spans="1:4" x14ac:dyDescent="0.2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2</v>
      </c>
      <c r="C94">
        <f>IF(B94=0,0,EXP((input!$G$17-B94)*0.25))</f>
        <v>126753.55900574342</v>
      </c>
      <c r="D94">
        <f t="shared" si="1"/>
        <v>0.24144538407641544</v>
      </c>
    </row>
    <row r="95" spans="1:4" x14ac:dyDescent="0.2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0</v>
      </c>
      <c r="C95">
        <f>IF(B95=0,0,EXP((input!$G$17-B95)*0.25))</f>
        <v>0</v>
      </c>
      <c r="D95">
        <f t="shared" si="1"/>
        <v>0</v>
      </c>
    </row>
    <row r="96" spans="1:4" x14ac:dyDescent="0.2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0</v>
      </c>
      <c r="C96">
        <f>IF(B96=0,0,EXP((input!$G$17-B96)*0.25))</f>
        <v>0</v>
      </c>
      <c r="D96">
        <f t="shared" si="1"/>
        <v>0</v>
      </c>
    </row>
    <row r="97" spans="1:4" x14ac:dyDescent="0.2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0</v>
      </c>
      <c r="C97">
        <f>IF(B97=0,0,EXP((input!$G$17-B97)*0.25))</f>
        <v>0</v>
      </c>
      <c r="D97">
        <f t="shared" si="1"/>
        <v>0</v>
      </c>
    </row>
    <row r="98" spans="1:4" x14ac:dyDescent="0.2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0</v>
      </c>
      <c r="C98">
        <f>IF(B98=0,0,EXP((input!$G$17-B98)*0.25))</f>
        <v>0</v>
      </c>
      <c r="D98">
        <f t="shared" si="1"/>
        <v>0</v>
      </c>
    </row>
    <row r="99" spans="1:4" x14ac:dyDescent="0.2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0</v>
      </c>
      <c r="C99">
        <f>IF(B99=0,0,EXP((input!$G$17-B99)*0.25))</f>
        <v>0</v>
      </c>
      <c r="D99">
        <f t="shared" si="1"/>
        <v>0</v>
      </c>
    </row>
    <row r="100" spans="1:4" x14ac:dyDescent="0.2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0</v>
      </c>
      <c r="C100">
        <f>IF(B100=0,0,EXP((input!$G$17-B100)*0.25))</f>
        <v>0</v>
      </c>
      <c r="D100">
        <f t="shared" si="1"/>
        <v>0</v>
      </c>
    </row>
    <row r="101" spans="1:4" x14ac:dyDescent="0.2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0</v>
      </c>
      <c r="C101">
        <f>IF(B101=0,0,EXP((input!$G$17-B101)*0.25))</f>
        <v>0</v>
      </c>
      <c r="D101">
        <f t="shared" si="1"/>
        <v>0</v>
      </c>
    </row>
    <row r="102" spans="1:4" x14ac:dyDescent="0.2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0</v>
      </c>
      <c r="C102">
        <f>IF(B102=0,0,EXP((input!$G$17-B102)*0.25))</f>
        <v>0</v>
      </c>
      <c r="D102">
        <f t="shared" si="1"/>
        <v>0</v>
      </c>
    </row>
    <row r="103" spans="1:4" x14ac:dyDescent="0.2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0</v>
      </c>
      <c r="C103">
        <f>IF(B103=0,0,EXP((input!$G$17-B103)*0.25))</f>
        <v>0</v>
      </c>
      <c r="D103">
        <f t="shared" si="1"/>
        <v>0</v>
      </c>
    </row>
    <row r="104" spans="1:4" x14ac:dyDescent="0.2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3</v>
      </c>
      <c r="C104">
        <f>IF(B104=0,0,EXP((input!$G$17-B104)*0.25))</f>
        <v>98715.771010760494</v>
      </c>
      <c r="D104">
        <f t="shared" si="1"/>
        <v>0.18803785418768845</v>
      </c>
    </row>
    <row r="105" spans="1:4" x14ac:dyDescent="0.2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0</v>
      </c>
      <c r="C105">
        <f>IF(B105=0,0,EXP((input!$G$17-B105)*0.25))</f>
        <v>0</v>
      </c>
      <c r="D105">
        <f t="shared" si="1"/>
        <v>0</v>
      </c>
    </row>
    <row r="106" spans="1:4" x14ac:dyDescent="0.2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0</v>
      </c>
      <c r="C106">
        <f>IF(B106=0,0,EXP((input!$G$17-B106)*0.25))</f>
        <v>0</v>
      </c>
      <c r="D106">
        <f t="shared" si="1"/>
        <v>0</v>
      </c>
    </row>
    <row r="107" spans="1:4" x14ac:dyDescent="0.2">
      <c r="A107" s="3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IF(B107=0,0,EXP((input!$G$17-B107)*0.25))</f>
        <v>0</v>
      </c>
      <c r="D107">
        <f t="shared" si="1"/>
        <v>0</v>
      </c>
    </row>
    <row r="108" spans="1:4" x14ac:dyDescent="0.2">
      <c r="A108" s="3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IF(B108=0,0,EXP((input!$G$17-B108)*0.25))</f>
        <v>0</v>
      </c>
      <c r="D108">
        <f t="shared" si="1"/>
        <v>0</v>
      </c>
    </row>
    <row r="109" spans="1:4" x14ac:dyDescent="0.2">
      <c r="A109" s="3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IF(B109=0,0,EXP((input!$G$17-B109)*0.25))</f>
        <v>0</v>
      </c>
      <c r="D109">
        <f t="shared" si="1"/>
        <v>0</v>
      </c>
    </row>
    <row r="110" spans="1:4" x14ac:dyDescent="0.2">
      <c r="A110" s="3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IF(B110=0,0,EXP((input!$G$17-B110)*0.25))</f>
        <v>0</v>
      </c>
      <c r="D110">
        <f t="shared" si="1"/>
        <v>0</v>
      </c>
    </row>
    <row r="111" spans="1:4" x14ac:dyDescent="0.2">
      <c r="A111" s="3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IF(B111=0,0,EXP((input!$G$17-B111)*0.25))</f>
        <v>0</v>
      </c>
      <c r="D111">
        <f t="shared" si="1"/>
        <v>0</v>
      </c>
    </row>
    <row r="112" spans="1:4" x14ac:dyDescent="0.2">
      <c r="A112" s="3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IF(B112=0,0,EXP((input!$G$17-B112)*0.25))</f>
        <v>0</v>
      </c>
      <c r="D112">
        <f t="shared" si="1"/>
        <v>0</v>
      </c>
    </row>
    <row r="113" spans="1:4" x14ac:dyDescent="0.2">
      <c r="A113" s="3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IF(B113=0,0,EXP((input!$G$17-B113)*0.25))</f>
        <v>0</v>
      </c>
      <c r="D113">
        <f t="shared" si="1"/>
        <v>0</v>
      </c>
    </row>
    <row r="114" spans="1:4" x14ac:dyDescent="0.2">
      <c r="A114" s="3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IF(B114=0,0,EXP((input!$G$17-B114)*0.25))</f>
        <v>0</v>
      </c>
      <c r="D114">
        <f t="shared" si="1"/>
        <v>0</v>
      </c>
    </row>
    <row r="115" spans="1:4" x14ac:dyDescent="0.2">
      <c r="A115" s="3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IF(B115=0,0,EXP((input!$G$17-B115)*0.25))</f>
        <v>0</v>
      </c>
      <c r="D115">
        <f t="shared" si="1"/>
        <v>0</v>
      </c>
    </row>
    <row r="116" spans="1:4" x14ac:dyDescent="0.2">
      <c r="A116" s="3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IF(B116=0,0,EXP((input!$G$17-B116)*0.25))</f>
        <v>0</v>
      </c>
      <c r="D116">
        <f t="shared" si="1"/>
        <v>0</v>
      </c>
    </row>
    <row r="117" spans="1:4" x14ac:dyDescent="0.2">
      <c r="A117" s="3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IF(B117=0,0,EXP((input!$G$17-B117)*0.25))</f>
        <v>0</v>
      </c>
      <c r="D117">
        <f t="shared" si="1"/>
        <v>0</v>
      </c>
    </row>
    <row r="118" spans="1:4" x14ac:dyDescent="0.2">
      <c r="A118" s="3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IF(B118=0,0,EXP((input!$G$17-B118)*0.25))</f>
        <v>0</v>
      </c>
      <c r="D118">
        <f t="shared" si="1"/>
        <v>0</v>
      </c>
    </row>
    <row r="119" spans="1:4" x14ac:dyDescent="0.2">
      <c r="A119" s="3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IF(B119=0,0,EXP((input!$G$17-B119)*0.25))</f>
        <v>0</v>
      </c>
      <c r="D119">
        <f t="shared" si="1"/>
        <v>0</v>
      </c>
    </row>
    <row r="120" spans="1:4" x14ac:dyDescent="0.2">
      <c r="A120" s="3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IF(B120=0,0,EXP((input!$G$17-B120)*0.25))</f>
        <v>0</v>
      </c>
      <c r="D120">
        <f t="shared" si="1"/>
        <v>0</v>
      </c>
    </row>
    <row r="121" spans="1:4" x14ac:dyDescent="0.2">
      <c r="A121" s="3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IF(B121=0,0,EXP((input!$G$17-B121)*0.25))</f>
        <v>0</v>
      </c>
      <c r="D121">
        <f t="shared" si="1"/>
        <v>0</v>
      </c>
    </row>
    <row r="122" spans="1:4" x14ac:dyDescent="0.2">
      <c r="A122" s="3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IF(B122=0,0,EXP((input!$G$17-B122)*0.25))</f>
        <v>0</v>
      </c>
      <c r="D122">
        <f t="shared" si="1"/>
        <v>0</v>
      </c>
    </row>
    <row r="123" spans="1:4" x14ac:dyDescent="0.2">
      <c r="A123" s="3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IF(B123=0,0,EXP((input!$G$17-B123)*0.25))</f>
        <v>0</v>
      </c>
      <c r="D123">
        <f t="shared" si="1"/>
        <v>0</v>
      </c>
    </row>
    <row r="124" spans="1:4" x14ac:dyDescent="0.2">
      <c r="A124" s="3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IF(B124=0,0,EXP((input!$G$17-B124)*0.25))</f>
        <v>0</v>
      </c>
      <c r="D124">
        <f t="shared" si="1"/>
        <v>0</v>
      </c>
    </row>
    <row r="125" spans="1:4" x14ac:dyDescent="0.2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IF(B125=0,0,EXP((input!$G$17-B125)*0.25))</f>
        <v>0</v>
      </c>
      <c r="D125">
        <f t="shared" si="1"/>
        <v>0</v>
      </c>
    </row>
    <row r="126" spans="1:4" x14ac:dyDescent="0.2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IF(B126=0,0,EXP((input!$G$17-B126)*0.25))</f>
        <v>0</v>
      </c>
      <c r="D126">
        <f t="shared" si="1"/>
        <v>0</v>
      </c>
    </row>
    <row r="127" spans="1:4" x14ac:dyDescent="0.2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IF(B127=0,0,EXP((input!$G$17-B127)*0.25))</f>
        <v>0</v>
      </c>
      <c r="D127">
        <f t="shared" si="1"/>
        <v>0</v>
      </c>
    </row>
    <row r="128" spans="1:4" x14ac:dyDescent="0.2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IF(B128=0,0,EXP((input!$G$17-B128)*0.25))</f>
        <v>0</v>
      </c>
      <c r="D128">
        <f t="shared" si="1"/>
        <v>0</v>
      </c>
    </row>
    <row r="129" spans="1:4" x14ac:dyDescent="0.2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IF(B129=0,0,EXP((input!$G$17-B129)*0.25))</f>
        <v>0</v>
      </c>
      <c r="D129">
        <f t="shared" si="1"/>
        <v>0</v>
      </c>
    </row>
    <row r="130" spans="1:4" x14ac:dyDescent="0.2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IF(B130=0,0,EXP((input!$G$17-B130)*0.25))</f>
        <v>0</v>
      </c>
      <c r="D130">
        <f t="shared" ref="D130:D193" si="2">C130/SUM($C$1:$C$469)</f>
        <v>0</v>
      </c>
    </row>
    <row r="131" spans="1:4" x14ac:dyDescent="0.2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IF(B131=0,0,EXP((input!$G$17-B131)*0.25))</f>
        <v>0</v>
      </c>
      <c r="D131">
        <f t="shared" si="2"/>
        <v>0</v>
      </c>
    </row>
    <row r="132" spans="1:4" x14ac:dyDescent="0.2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IF(B132=0,0,EXP((input!$G$17-B132)*0.25))</f>
        <v>0</v>
      </c>
      <c r="D132">
        <f t="shared" si="2"/>
        <v>0</v>
      </c>
    </row>
    <row r="133" spans="1:4" x14ac:dyDescent="0.2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IF(B133=0,0,EXP((input!$G$17-B133)*0.25))</f>
        <v>0</v>
      </c>
      <c r="D133">
        <f t="shared" si="2"/>
        <v>0</v>
      </c>
    </row>
    <row r="134" spans="1:4" x14ac:dyDescent="0.2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IF(B134=0,0,EXP((input!$G$17-B134)*0.25))</f>
        <v>0</v>
      </c>
      <c r="D134">
        <f t="shared" si="2"/>
        <v>0</v>
      </c>
    </row>
    <row r="135" spans="1:4" x14ac:dyDescent="0.2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4</v>
      </c>
      <c r="C135">
        <f>IF(B135=0,0,EXP((input!$G$17-B135)*0.25))</f>
        <v>76879.919764677761</v>
      </c>
      <c r="D135">
        <f t="shared" si="2"/>
        <v>0.14644402808843843</v>
      </c>
    </row>
    <row r="136" spans="1:4" x14ac:dyDescent="0.2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0</v>
      </c>
      <c r="C136">
        <f>IF(B136=0,0,EXP((input!$G$17-B136)*0.25))</f>
        <v>0</v>
      </c>
      <c r="D136">
        <f t="shared" si="2"/>
        <v>0</v>
      </c>
    </row>
    <row r="137" spans="1:4" x14ac:dyDescent="0.2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0</v>
      </c>
      <c r="C137">
        <f>IF(B137=0,0,EXP((input!$G$17-B137)*0.25))</f>
        <v>0</v>
      </c>
      <c r="D137">
        <f t="shared" si="2"/>
        <v>0</v>
      </c>
    </row>
    <row r="138" spans="1:4" x14ac:dyDescent="0.2">
      <c r="A138" s="3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IF(B138=0,0,EXP((input!$G$17-B138)*0.25))</f>
        <v>0</v>
      </c>
      <c r="D138">
        <f t="shared" si="2"/>
        <v>0</v>
      </c>
    </row>
    <row r="139" spans="1:4" x14ac:dyDescent="0.2">
      <c r="A139" s="3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IF(B139=0,0,EXP((input!$G$17-B139)*0.25))</f>
        <v>0</v>
      </c>
      <c r="D139">
        <f t="shared" si="2"/>
        <v>0</v>
      </c>
    </row>
    <row r="140" spans="1:4" x14ac:dyDescent="0.2">
      <c r="A140" s="3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IF(B140=0,0,EXP((input!$G$17-B140)*0.25))</f>
        <v>0</v>
      </c>
      <c r="D140">
        <f t="shared" si="2"/>
        <v>0</v>
      </c>
    </row>
    <row r="141" spans="1:4" x14ac:dyDescent="0.2">
      <c r="A141" s="3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IF(B141=0,0,EXP((input!$G$17-B141)*0.25))</f>
        <v>0</v>
      </c>
      <c r="D141">
        <f t="shared" si="2"/>
        <v>0</v>
      </c>
    </row>
    <row r="142" spans="1:4" x14ac:dyDescent="0.2">
      <c r="A142" s="3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IF(B142=0,0,EXP((input!$G$17-B142)*0.25))</f>
        <v>0</v>
      </c>
      <c r="D142">
        <f t="shared" si="2"/>
        <v>0</v>
      </c>
    </row>
    <row r="143" spans="1:4" x14ac:dyDescent="0.2">
      <c r="A143" s="3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IF(B143=0,0,EXP((input!$G$17-B143)*0.25))</f>
        <v>0</v>
      </c>
      <c r="D143">
        <f t="shared" si="2"/>
        <v>0</v>
      </c>
    </row>
    <row r="144" spans="1:4" x14ac:dyDescent="0.2">
      <c r="A144" s="3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IF(B144=0,0,EXP((input!$G$17-B144)*0.25))</f>
        <v>0</v>
      </c>
      <c r="D144">
        <f t="shared" si="2"/>
        <v>0</v>
      </c>
    </row>
    <row r="145" spans="1:4" x14ac:dyDescent="0.2">
      <c r="A145" s="3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IF(B145=0,0,EXP((input!$G$17-B145)*0.25))</f>
        <v>0</v>
      </c>
      <c r="D145">
        <f t="shared" si="2"/>
        <v>0</v>
      </c>
    </row>
    <row r="146" spans="1:4" x14ac:dyDescent="0.2">
      <c r="A146" s="3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IF(B146=0,0,EXP((input!$G$17-B146)*0.25))</f>
        <v>0</v>
      </c>
      <c r="D146">
        <f t="shared" si="2"/>
        <v>0</v>
      </c>
    </row>
    <row r="147" spans="1:4" x14ac:dyDescent="0.2">
      <c r="A147" s="3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IF(B147=0,0,EXP((input!$G$17-B147)*0.25))</f>
        <v>0</v>
      </c>
      <c r="D147">
        <f t="shared" si="2"/>
        <v>0</v>
      </c>
    </row>
    <row r="148" spans="1:4" x14ac:dyDescent="0.2">
      <c r="A148" s="3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IF(B148=0,0,EXP((input!$G$17-B148)*0.25))</f>
        <v>0</v>
      </c>
      <c r="D148">
        <f t="shared" si="2"/>
        <v>0</v>
      </c>
    </row>
    <row r="149" spans="1:4" x14ac:dyDescent="0.2">
      <c r="A149" s="3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IF(B149=0,0,EXP((input!$G$17-B149)*0.25))</f>
        <v>0</v>
      </c>
      <c r="D149">
        <f t="shared" si="2"/>
        <v>0</v>
      </c>
    </row>
    <row r="150" spans="1:4" x14ac:dyDescent="0.2">
      <c r="A150" s="3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IF(B150=0,0,EXP((input!$G$17-B150)*0.25))</f>
        <v>0</v>
      </c>
      <c r="D150">
        <f t="shared" si="2"/>
        <v>0</v>
      </c>
    </row>
    <row r="151" spans="1:4" x14ac:dyDescent="0.2">
      <c r="A151" s="3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IF(B151=0,0,EXP((input!$G$17-B151)*0.25))</f>
        <v>0</v>
      </c>
      <c r="D151">
        <f t="shared" si="2"/>
        <v>0</v>
      </c>
    </row>
    <row r="152" spans="1:4" x14ac:dyDescent="0.2">
      <c r="A152" s="3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IF(B152=0,0,EXP((input!$G$17-B152)*0.25))</f>
        <v>0</v>
      </c>
      <c r="D152">
        <f t="shared" si="2"/>
        <v>0</v>
      </c>
    </row>
    <row r="153" spans="1:4" x14ac:dyDescent="0.2">
      <c r="A153" s="3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IF(B153=0,0,EXP((input!$G$17-B153)*0.25))</f>
        <v>0</v>
      </c>
      <c r="D153">
        <f t="shared" si="2"/>
        <v>0</v>
      </c>
    </row>
    <row r="154" spans="1:4" x14ac:dyDescent="0.2">
      <c r="A154" s="3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IF(B154=0,0,EXP((input!$G$17-B154)*0.25))</f>
        <v>0</v>
      </c>
      <c r="D154">
        <f t="shared" si="2"/>
        <v>0</v>
      </c>
    </row>
    <row r="155" spans="1:4" x14ac:dyDescent="0.2">
      <c r="A155" s="3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IF(B155=0,0,EXP((input!$G$17-B155)*0.25))</f>
        <v>0</v>
      </c>
      <c r="D155">
        <f t="shared" si="2"/>
        <v>0</v>
      </c>
    </row>
    <row r="156" spans="1:4" x14ac:dyDescent="0.2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IF(B156=0,0,EXP((input!$G$17-B156)*0.25))</f>
        <v>0</v>
      </c>
      <c r="D156">
        <f t="shared" si="2"/>
        <v>0</v>
      </c>
    </row>
    <row r="157" spans="1:4" x14ac:dyDescent="0.2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IF(B157=0,0,EXP((input!$G$17-B157)*0.25))</f>
        <v>0</v>
      </c>
      <c r="D157">
        <f t="shared" si="2"/>
        <v>0</v>
      </c>
    </row>
    <row r="158" spans="1:4" x14ac:dyDescent="0.2">
      <c r="A158" s="3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IF(B158=0,0,EXP((input!$G$17-B158)*0.25))</f>
        <v>0</v>
      </c>
      <c r="D158">
        <f t="shared" si="2"/>
        <v>0</v>
      </c>
    </row>
    <row r="159" spans="1:4" x14ac:dyDescent="0.2">
      <c r="A159" s="3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IF(B159=0,0,EXP((input!$G$17-B159)*0.25))</f>
        <v>0</v>
      </c>
      <c r="D159">
        <f t="shared" si="2"/>
        <v>0</v>
      </c>
    </row>
    <row r="160" spans="1:4" x14ac:dyDescent="0.2">
      <c r="A160" s="3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IF(B160=0,0,EXP((input!$G$17-B160)*0.25))</f>
        <v>0</v>
      </c>
      <c r="D160">
        <f t="shared" si="2"/>
        <v>0</v>
      </c>
    </row>
    <row r="161" spans="1:4" x14ac:dyDescent="0.2">
      <c r="A161" s="3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IF(B161=0,0,EXP((input!$G$17-B161)*0.25))</f>
        <v>0</v>
      </c>
      <c r="D161">
        <f t="shared" si="2"/>
        <v>0</v>
      </c>
    </row>
    <row r="162" spans="1:4" x14ac:dyDescent="0.2">
      <c r="A162" s="3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IF(B162=0,0,EXP((input!$G$17-B162)*0.25))</f>
        <v>0</v>
      </c>
      <c r="D162">
        <f t="shared" si="2"/>
        <v>0</v>
      </c>
    </row>
    <row r="163" spans="1:4" x14ac:dyDescent="0.2">
      <c r="A163" s="3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IF(B163=0,0,EXP((input!$G$17-B163)*0.25))</f>
        <v>0</v>
      </c>
      <c r="D163">
        <f t="shared" si="2"/>
        <v>0</v>
      </c>
    </row>
    <row r="164" spans="1:4" x14ac:dyDescent="0.2">
      <c r="A164" s="3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IF(B164=0,0,EXP((input!$G$17-B164)*0.25))</f>
        <v>0</v>
      </c>
      <c r="D164">
        <f t="shared" si="2"/>
        <v>0</v>
      </c>
    </row>
    <row r="165" spans="1:4" x14ac:dyDescent="0.2">
      <c r="A165" s="3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IF(B165=0,0,EXP((input!$G$17-B165)*0.25))</f>
        <v>0</v>
      </c>
      <c r="D165">
        <f t="shared" si="2"/>
        <v>0</v>
      </c>
    </row>
    <row r="166" spans="1:4" x14ac:dyDescent="0.2">
      <c r="A166" s="3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IF(B166=0,0,EXP((input!$G$17-B166)*0.25))</f>
        <v>0</v>
      </c>
      <c r="D166">
        <f t="shared" si="2"/>
        <v>0</v>
      </c>
    </row>
    <row r="167" spans="1:4" x14ac:dyDescent="0.2">
      <c r="A167" s="3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IF(B167=0,0,EXP((input!$G$17-B167)*0.25))</f>
        <v>0</v>
      </c>
      <c r="D167">
        <f t="shared" si="2"/>
        <v>0</v>
      </c>
    </row>
    <row r="168" spans="1:4" x14ac:dyDescent="0.2">
      <c r="A168" s="3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IF(B168=0,0,EXP((input!$G$17-B168)*0.25))</f>
        <v>0</v>
      </c>
      <c r="D168">
        <f t="shared" si="2"/>
        <v>0</v>
      </c>
    </row>
    <row r="169" spans="1:4" x14ac:dyDescent="0.2">
      <c r="A169" s="3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IF(B169=0,0,EXP((input!$G$17-B169)*0.25))</f>
        <v>0</v>
      </c>
      <c r="D169">
        <f t="shared" si="2"/>
        <v>0</v>
      </c>
    </row>
    <row r="170" spans="1:4" x14ac:dyDescent="0.2">
      <c r="A170" s="3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IF(B170=0,0,EXP((input!$G$17-B170)*0.25))</f>
        <v>0</v>
      </c>
      <c r="D170">
        <f t="shared" si="2"/>
        <v>0</v>
      </c>
    </row>
    <row r="171" spans="1:4" x14ac:dyDescent="0.2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IF(B171=0,0,EXP((input!$G$17-B171)*0.25))</f>
        <v>0</v>
      </c>
      <c r="D171">
        <f t="shared" si="2"/>
        <v>0</v>
      </c>
    </row>
    <row r="172" spans="1:4" x14ac:dyDescent="0.2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IF(B172=0,0,EXP((input!$G$17-B172)*0.25))</f>
        <v>0</v>
      </c>
      <c r="D172">
        <f t="shared" si="2"/>
        <v>0</v>
      </c>
    </row>
    <row r="173" spans="1:4" x14ac:dyDescent="0.2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IF(B173=0,0,EXP((input!$G$17-B173)*0.25))</f>
        <v>0</v>
      </c>
      <c r="D173">
        <f t="shared" si="2"/>
        <v>0</v>
      </c>
    </row>
    <row r="174" spans="1:4" x14ac:dyDescent="0.2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IF(B174=0,0,EXP((input!$G$17-B174)*0.25))</f>
        <v>0</v>
      </c>
      <c r="D174">
        <f t="shared" si="2"/>
        <v>0</v>
      </c>
    </row>
    <row r="175" spans="1:4" x14ac:dyDescent="0.2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IF(B175=0,0,EXP((input!$G$17-B175)*0.25))</f>
        <v>0</v>
      </c>
      <c r="D175">
        <f t="shared" si="2"/>
        <v>0</v>
      </c>
    </row>
    <row r="176" spans="1:4" x14ac:dyDescent="0.2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IF(B176=0,0,EXP((input!$G$17-B176)*0.25))</f>
        <v>0</v>
      </c>
      <c r="D176">
        <f t="shared" si="2"/>
        <v>0</v>
      </c>
    </row>
    <row r="177" spans="1:4" x14ac:dyDescent="0.2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IF(B177=0,0,EXP((input!$G$17-B177)*0.25))</f>
        <v>0</v>
      </c>
      <c r="D177">
        <f t="shared" si="2"/>
        <v>0</v>
      </c>
    </row>
    <row r="178" spans="1:4" x14ac:dyDescent="0.2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IF(B178=0,0,EXP((input!$G$17-B178)*0.25))</f>
        <v>0</v>
      </c>
      <c r="D178">
        <f t="shared" si="2"/>
        <v>0</v>
      </c>
    </row>
    <row r="179" spans="1:4" x14ac:dyDescent="0.2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IF(B179=0,0,EXP((input!$G$17-B179)*0.25))</f>
        <v>0</v>
      </c>
      <c r="D179">
        <f t="shared" si="2"/>
        <v>0</v>
      </c>
    </row>
    <row r="180" spans="1:4" x14ac:dyDescent="0.2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IF(B180=0,0,EXP((input!$G$17-B180)*0.25))</f>
        <v>0</v>
      </c>
      <c r="D180">
        <f t="shared" si="2"/>
        <v>0</v>
      </c>
    </row>
    <row r="181" spans="1:4" x14ac:dyDescent="0.2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IF(B181=0,0,EXP((input!$G$17-B181)*0.25))</f>
        <v>0</v>
      </c>
      <c r="D181">
        <f t="shared" si="2"/>
        <v>0</v>
      </c>
    </row>
    <row r="182" spans="1:4" x14ac:dyDescent="0.2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IF(B182=0,0,EXP((input!$G$17-B182)*0.25))</f>
        <v>0</v>
      </c>
      <c r="D182">
        <f t="shared" si="2"/>
        <v>0</v>
      </c>
    </row>
    <row r="183" spans="1:4" x14ac:dyDescent="0.2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IF(B183=0,0,EXP((input!$G$17-B183)*0.25))</f>
        <v>0</v>
      </c>
      <c r="D183">
        <f t="shared" si="2"/>
        <v>0</v>
      </c>
    </row>
    <row r="184" spans="1:4" x14ac:dyDescent="0.2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IF(B184=0,0,EXP((input!$G$17-B184)*0.25))</f>
        <v>0</v>
      </c>
      <c r="D184">
        <f t="shared" si="2"/>
        <v>0</v>
      </c>
    </row>
    <row r="185" spans="1:4" x14ac:dyDescent="0.2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IF(B185=0,0,EXP((input!$G$17-B185)*0.25))</f>
        <v>0</v>
      </c>
      <c r="D185">
        <f t="shared" si="2"/>
        <v>0</v>
      </c>
    </row>
    <row r="186" spans="1:4" x14ac:dyDescent="0.2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IF(B186=0,0,EXP((input!$G$17-B186)*0.25))</f>
        <v>0</v>
      </c>
      <c r="D186">
        <f t="shared" si="2"/>
        <v>0</v>
      </c>
    </row>
    <row r="187" spans="1:4" x14ac:dyDescent="0.2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IF(B187=0,0,EXP((input!$G$17-B187)*0.25))</f>
        <v>0</v>
      </c>
      <c r="D187">
        <f t="shared" si="2"/>
        <v>0</v>
      </c>
    </row>
    <row r="188" spans="1:4" x14ac:dyDescent="0.2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IF(B188=0,0,EXP((input!$G$17-B188)*0.25))</f>
        <v>0</v>
      </c>
      <c r="D188">
        <f t="shared" si="2"/>
        <v>0</v>
      </c>
    </row>
    <row r="189" spans="1:4" x14ac:dyDescent="0.2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IF(B189=0,0,EXP((input!$G$17-B189)*0.25))</f>
        <v>0</v>
      </c>
      <c r="D189">
        <f t="shared" si="2"/>
        <v>0</v>
      </c>
    </row>
    <row r="190" spans="1:4" x14ac:dyDescent="0.2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IF(B190=0,0,EXP((input!$G$17-B190)*0.25))</f>
        <v>0</v>
      </c>
      <c r="D190">
        <f t="shared" si="2"/>
        <v>0</v>
      </c>
    </row>
    <row r="191" spans="1:4" x14ac:dyDescent="0.2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IF(B191=0,0,EXP((input!$G$17-B191)*0.25))</f>
        <v>0</v>
      </c>
      <c r="D191">
        <f t="shared" si="2"/>
        <v>0</v>
      </c>
    </row>
    <row r="192" spans="1:4" x14ac:dyDescent="0.2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IF(B192=0,0,EXP((input!$G$17-B192)*0.25))</f>
        <v>0</v>
      </c>
      <c r="D192">
        <f t="shared" si="2"/>
        <v>0</v>
      </c>
    </row>
    <row r="193" spans="1:4" x14ac:dyDescent="0.2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5</v>
      </c>
      <c r="C193">
        <f>IF(B193=0,0,EXP((input!$G$17-B193)*0.25))</f>
        <v>59874.141715197817</v>
      </c>
      <c r="D193">
        <f t="shared" si="2"/>
        <v>0.11405072375140665</v>
      </c>
    </row>
    <row r="194" spans="1:4" x14ac:dyDescent="0.2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0</v>
      </c>
      <c r="C194">
        <f>IF(B194=0,0,EXP((input!$G$17-B194)*0.25))</f>
        <v>0</v>
      </c>
      <c r="D194">
        <f t="shared" ref="D194:D257" si="3">C194/SUM($C$1:$C$469)</f>
        <v>0</v>
      </c>
    </row>
    <row r="195" spans="1:4" x14ac:dyDescent="0.2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0</v>
      </c>
      <c r="C195">
        <f>IF(B195=0,0,EXP((input!$G$17-B195)*0.25))</f>
        <v>0</v>
      </c>
      <c r="D195">
        <f t="shared" si="3"/>
        <v>0</v>
      </c>
    </row>
    <row r="196" spans="1:4" x14ac:dyDescent="0.2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0</v>
      </c>
      <c r="C196">
        <f>IF(B196=0,0,EXP((input!$G$17-B196)*0.25))</f>
        <v>0</v>
      </c>
      <c r="D196">
        <f t="shared" si="3"/>
        <v>0</v>
      </c>
    </row>
    <row r="197" spans="1:4" x14ac:dyDescent="0.2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0</v>
      </c>
      <c r="C197">
        <f>IF(B197=0,0,EXP((input!$G$17-B197)*0.25))</f>
        <v>0</v>
      </c>
      <c r="D197">
        <f t="shared" si="3"/>
        <v>0</v>
      </c>
    </row>
    <row r="198" spans="1:4" x14ac:dyDescent="0.2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0</v>
      </c>
      <c r="C198">
        <f>IF(B198=0,0,EXP((input!$G$17-B198)*0.25))</f>
        <v>0</v>
      </c>
      <c r="D198">
        <f t="shared" si="3"/>
        <v>0</v>
      </c>
    </row>
    <row r="199" spans="1:4" x14ac:dyDescent="0.2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0</v>
      </c>
      <c r="C199">
        <f>IF(B199=0,0,EXP((input!$G$17-B199)*0.25))</f>
        <v>0</v>
      </c>
      <c r="D199">
        <f t="shared" si="3"/>
        <v>0</v>
      </c>
    </row>
    <row r="200" spans="1:4" x14ac:dyDescent="0.2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0</v>
      </c>
      <c r="C200">
        <f>IF(B200=0,0,EXP((input!$G$17-B200)*0.25))</f>
        <v>0</v>
      </c>
      <c r="D200">
        <f t="shared" si="3"/>
        <v>0</v>
      </c>
    </row>
    <row r="201" spans="1:4" x14ac:dyDescent="0.2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0</v>
      </c>
      <c r="C201">
        <f>IF(B201=0,0,EXP((input!$G$17-B201)*0.25))</f>
        <v>0</v>
      </c>
      <c r="D201">
        <f t="shared" si="3"/>
        <v>0</v>
      </c>
    </row>
    <row r="202" spans="1:4" x14ac:dyDescent="0.2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0</v>
      </c>
      <c r="C202">
        <f>IF(B202=0,0,EXP((input!$G$17-B202)*0.25))</f>
        <v>0</v>
      </c>
      <c r="D202">
        <f t="shared" si="3"/>
        <v>0</v>
      </c>
    </row>
    <row r="203" spans="1:4" x14ac:dyDescent="0.2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IF(B203=0,0,EXP((input!$G$17-B203)*0.25))</f>
        <v>0</v>
      </c>
      <c r="D203">
        <f t="shared" si="3"/>
        <v>0</v>
      </c>
    </row>
    <row r="204" spans="1:4" x14ac:dyDescent="0.2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IF(B204=0,0,EXP((input!$G$17-B204)*0.25))</f>
        <v>0</v>
      </c>
      <c r="D204">
        <f t="shared" si="3"/>
        <v>0</v>
      </c>
    </row>
    <row r="205" spans="1:4" x14ac:dyDescent="0.2">
      <c r="A205" s="3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IF(B205=0,0,EXP((input!$G$17-B205)*0.25))</f>
        <v>0</v>
      </c>
      <c r="D205">
        <f t="shared" si="3"/>
        <v>0</v>
      </c>
    </row>
    <row r="206" spans="1:4" x14ac:dyDescent="0.2">
      <c r="A206" s="3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IF(B206=0,0,EXP((input!$G$17-B206)*0.25))</f>
        <v>0</v>
      </c>
      <c r="D206">
        <f t="shared" si="3"/>
        <v>0</v>
      </c>
    </row>
    <row r="207" spans="1:4" x14ac:dyDescent="0.2">
      <c r="A207" s="3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IF(B207=0,0,EXP((input!$G$17-B207)*0.25))</f>
        <v>0</v>
      </c>
      <c r="D207">
        <f t="shared" si="3"/>
        <v>0</v>
      </c>
    </row>
    <row r="208" spans="1:4" x14ac:dyDescent="0.2">
      <c r="A208" s="3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IF(B208=0,0,EXP((input!$G$17-B208)*0.25))</f>
        <v>0</v>
      </c>
      <c r="D208">
        <f t="shared" si="3"/>
        <v>0</v>
      </c>
    </row>
    <row r="209" spans="1:4" x14ac:dyDescent="0.2">
      <c r="A209" s="3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IF(B209=0,0,EXP((input!$G$17-B209)*0.25))</f>
        <v>0</v>
      </c>
      <c r="D209">
        <f t="shared" si="3"/>
        <v>0</v>
      </c>
    </row>
    <row r="210" spans="1:4" x14ac:dyDescent="0.2">
      <c r="A210" s="3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IF(B210=0,0,EXP((input!$G$17-B210)*0.25))</f>
        <v>0</v>
      </c>
      <c r="D210">
        <f t="shared" si="3"/>
        <v>0</v>
      </c>
    </row>
    <row r="211" spans="1:4" x14ac:dyDescent="0.2">
      <c r="A211" s="3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IF(B211=0,0,EXP((input!$G$17-B211)*0.25))</f>
        <v>0</v>
      </c>
      <c r="D211">
        <f t="shared" si="3"/>
        <v>0</v>
      </c>
    </row>
    <row r="212" spans="1:4" x14ac:dyDescent="0.2">
      <c r="A212" s="3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IF(B212=0,0,EXP((input!$G$17-B212)*0.25))</f>
        <v>0</v>
      </c>
      <c r="D212">
        <f t="shared" si="3"/>
        <v>0</v>
      </c>
    </row>
    <row r="213" spans="1:4" x14ac:dyDescent="0.2">
      <c r="A213" s="3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IF(B213=0,0,EXP((input!$G$17-B213)*0.25))</f>
        <v>0</v>
      </c>
      <c r="D213">
        <f t="shared" si="3"/>
        <v>0</v>
      </c>
    </row>
    <row r="214" spans="1:4" x14ac:dyDescent="0.2">
      <c r="A214" s="3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IF(B214=0,0,EXP((input!$G$17-B214)*0.25))</f>
        <v>0</v>
      </c>
      <c r="D214">
        <f t="shared" si="3"/>
        <v>0</v>
      </c>
    </row>
    <row r="215" spans="1:4" x14ac:dyDescent="0.2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IF(B215=0,0,EXP((input!$G$17-B215)*0.25))</f>
        <v>0</v>
      </c>
      <c r="D215">
        <f t="shared" si="3"/>
        <v>0</v>
      </c>
    </row>
    <row r="216" spans="1:4" x14ac:dyDescent="0.2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IF(B216=0,0,EXP((input!$G$17-B216)*0.25))</f>
        <v>0</v>
      </c>
      <c r="D216">
        <f t="shared" si="3"/>
        <v>0</v>
      </c>
    </row>
    <row r="217" spans="1:4" x14ac:dyDescent="0.2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IF(B217=0,0,EXP((input!$G$17-B217)*0.25))</f>
        <v>0</v>
      </c>
      <c r="D217">
        <f t="shared" si="3"/>
        <v>0</v>
      </c>
    </row>
    <row r="218" spans="1:4" x14ac:dyDescent="0.2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IF(B218=0,0,EXP((input!$G$17-B218)*0.25))</f>
        <v>0</v>
      </c>
      <c r="D218">
        <f t="shared" si="3"/>
        <v>0</v>
      </c>
    </row>
    <row r="219" spans="1:4" x14ac:dyDescent="0.2">
      <c r="A219" s="3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IF(B219=0,0,EXP((input!$G$17-B219)*0.25))</f>
        <v>0</v>
      </c>
      <c r="D219">
        <f t="shared" si="3"/>
        <v>0</v>
      </c>
    </row>
    <row r="220" spans="1:4" x14ac:dyDescent="0.2">
      <c r="A220" s="3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IF(B220=0,0,EXP((input!$G$17-B220)*0.25))</f>
        <v>0</v>
      </c>
      <c r="D220">
        <f t="shared" si="3"/>
        <v>0</v>
      </c>
    </row>
    <row r="221" spans="1:4" x14ac:dyDescent="0.2">
      <c r="A221" s="3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IF(B221=0,0,EXP((input!$G$17-B221)*0.25))</f>
        <v>0</v>
      </c>
      <c r="D221">
        <f t="shared" si="3"/>
        <v>0</v>
      </c>
    </row>
    <row r="222" spans="1:4" x14ac:dyDescent="0.2">
      <c r="A222" s="3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IF(B222=0,0,EXP((input!$G$17-B222)*0.25))</f>
        <v>0</v>
      </c>
      <c r="D222">
        <f t="shared" si="3"/>
        <v>0</v>
      </c>
    </row>
    <row r="223" spans="1:4" x14ac:dyDescent="0.2">
      <c r="A223" s="3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IF(B223=0,0,EXP((input!$G$17-B223)*0.25))</f>
        <v>0</v>
      </c>
      <c r="D223">
        <f t="shared" si="3"/>
        <v>0</v>
      </c>
    </row>
    <row r="224" spans="1:4" x14ac:dyDescent="0.2">
      <c r="A224" s="3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IF(B224=0,0,EXP((input!$G$17-B224)*0.25))</f>
        <v>0</v>
      </c>
      <c r="D224">
        <f t="shared" si="3"/>
        <v>0</v>
      </c>
    </row>
    <row r="225" spans="1:4" x14ac:dyDescent="0.2">
      <c r="A225" s="3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IF(B225=0,0,EXP((input!$G$17-B225)*0.25))</f>
        <v>0</v>
      </c>
      <c r="D225">
        <f t="shared" si="3"/>
        <v>0</v>
      </c>
    </row>
    <row r="226" spans="1:4" x14ac:dyDescent="0.2">
      <c r="A226" s="3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IF(B226=0,0,EXP((input!$G$17-B226)*0.25))</f>
        <v>0</v>
      </c>
      <c r="D226">
        <f t="shared" si="3"/>
        <v>0</v>
      </c>
    </row>
    <row r="227" spans="1:4" x14ac:dyDescent="0.2">
      <c r="A227" s="3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IF(B227=0,0,EXP((input!$G$17-B227)*0.25))</f>
        <v>0</v>
      </c>
      <c r="D227">
        <f t="shared" si="3"/>
        <v>0</v>
      </c>
    </row>
    <row r="228" spans="1:4" x14ac:dyDescent="0.2">
      <c r="A228" s="3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IF(B228=0,0,EXP((input!$G$17-B228)*0.25))</f>
        <v>0</v>
      </c>
      <c r="D228">
        <f t="shared" si="3"/>
        <v>0</v>
      </c>
    </row>
    <row r="229" spans="1:4" x14ac:dyDescent="0.2">
      <c r="A229" s="3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IF(B229=0,0,EXP((input!$G$17-B229)*0.25))</f>
        <v>0</v>
      </c>
      <c r="D229">
        <f t="shared" si="3"/>
        <v>0</v>
      </c>
    </row>
    <row r="230" spans="1:4" x14ac:dyDescent="0.2">
      <c r="A230" s="3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IF(B230=0,0,EXP((input!$G$17-B230)*0.25))</f>
        <v>0</v>
      </c>
      <c r="D230">
        <f t="shared" si="3"/>
        <v>0</v>
      </c>
    </row>
    <row r="231" spans="1:4" x14ac:dyDescent="0.2">
      <c r="A231" s="3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IF(B231=0,0,EXP((input!$G$17-B231)*0.25))</f>
        <v>0</v>
      </c>
      <c r="D231">
        <f t="shared" si="3"/>
        <v>0</v>
      </c>
    </row>
    <row r="232" spans="1:4" x14ac:dyDescent="0.2">
      <c r="A232" s="3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IF(B232=0,0,EXP((input!$G$17-B232)*0.25))</f>
        <v>0</v>
      </c>
      <c r="D232">
        <f t="shared" si="3"/>
        <v>0</v>
      </c>
    </row>
    <row r="233" spans="1:4" x14ac:dyDescent="0.2">
      <c r="A233" s="3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IF(B233=0,0,EXP((input!$G$17-B233)*0.25))</f>
        <v>0</v>
      </c>
      <c r="D233">
        <f t="shared" si="3"/>
        <v>0</v>
      </c>
    </row>
    <row r="234" spans="1:4" x14ac:dyDescent="0.2">
      <c r="A234" s="3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IF(B234=0,0,EXP((input!$G$17-B234)*0.25))</f>
        <v>0</v>
      </c>
      <c r="D234">
        <f t="shared" si="3"/>
        <v>0</v>
      </c>
    </row>
    <row r="235" spans="1:4" x14ac:dyDescent="0.2">
      <c r="A235" s="3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IF(B235=0,0,EXP((input!$G$17-B235)*0.25))</f>
        <v>0</v>
      </c>
      <c r="D235">
        <f t="shared" si="3"/>
        <v>0</v>
      </c>
    </row>
    <row r="236" spans="1:4" x14ac:dyDescent="0.2">
      <c r="A236" s="3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IF(B236=0,0,EXP((input!$G$17-B236)*0.25))</f>
        <v>0</v>
      </c>
      <c r="D236">
        <f t="shared" si="3"/>
        <v>0</v>
      </c>
    </row>
    <row r="237" spans="1:4" x14ac:dyDescent="0.2">
      <c r="A237" s="3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IF(B237=0,0,EXP((input!$G$17-B237)*0.25))</f>
        <v>0</v>
      </c>
      <c r="D237">
        <f t="shared" si="3"/>
        <v>0</v>
      </c>
    </row>
    <row r="238" spans="1:4" x14ac:dyDescent="0.2">
      <c r="A238" s="3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IF(B238=0,0,EXP((input!$G$17-B238)*0.25))</f>
        <v>0</v>
      </c>
      <c r="D238">
        <f t="shared" si="3"/>
        <v>0</v>
      </c>
    </row>
    <row r="239" spans="1:4" x14ac:dyDescent="0.2">
      <c r="A239" s="3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IF(B239=0,0,EXP((input!$G$17-B239)*0.25))</f>
        <v>0</v>
      </c>
      <c r="D239">
        <f t="shared" si="3"/>
        <v>0</v>
      </c>
    </row>
    <row r="240" spans="1:4" x14ac:dyDescent="0.2">
      <c r="A240" s="3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IF(B240=0,0,EXP((input!$G$17-B240)*0.25))</f>
        <v>0</v>
      </c>
      <c r="D240">
        <f t="shared" si="3"/>
        <v>0</v>
      </c>
    </row>
    <row r="241" spans="1:4" x14ac:dyDescent="0.2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IF(B241=0,0,EXP((input!$G$17-B241)*0.25))</f>
        <v>0</v>
      </c>
      <c r="D241">
        <f t="shared" si="3"/>
        <v>0</v>
      </c>
    </row>
    <row r="242" spans="1:4" x14ac:dyDescent="0.2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IF(B242=0,0,EXP((input!$G$17-B242)*0.25))</f>
        <v>0</v>
      </c>
      <c r="D242">
        <f t="shared" si="3"/>
        <v>0</v>
      </c>
    </row>
    <row r="243" spans="1:4" x14ac:dyDescent="0.2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IF(B243=0,0,EXP((input!$G$17-B243)*0.25))</f>
        <v>0</v>
      </c>
      <c r="D243">
        <f t="shared" si="3"/>
        <v>0</v>
      </c>
    </row>
    <row r="244" spans="1:4" x14ac:dyDescent="0.2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IF(B244=0,0,EXP((input!$G$17-B244)*0.25))</f>
        <v>0</v>
      </c>
      <c r="D244">
        <f t="shared" si="3"/>
        <v>0</v>
      </c>
    </row>
    <row r="245" spans="1:4" x14ac:dyDescent="0.2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IF(B245=0,0,EXP((input!$G$17-B245)*0.25))</f>
        <v>0</v>
      </c>
      <c r="D245">
        <f t="shared" si="3"/>
        <v>0</v>
      </c>
    </row>
    <row r="246" spans="1:4" x14ac:dyDescent="0.2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IF(B246=0,0,EXP((input!$G$17-B246)*0.25))</f>
        <v>0</v>
      </c>
      <c r="D246">
        <f t="shared" si="3"/>
        <v>0</v>
      </c>
    </row>
    <row r="247" spans="1:4" x14ac:dyDescent="0.2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IF(B247=0,0,EXP((input!$G$17-B247)*0.25))</f>
        <v>0</v>
      </c>
      <c r="D247">
        <f t="shared" si="3"/>
        <v>0</v>
      </c>
    </row>
    <row r="248" spans="1:4" x14ac:dyDescent="0.2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IF(B248=0,0,EXP((input!$G$17-B248)*0.25))</f>
        <v>0</v>
      </c>
      <c r="D248">
        <f t="shared" si="3"/>
        <v>0</v>
      </c>
    </row>
    <row r="249" spans="1:4" x14ac:dyDescent="0.2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IF(B249=0,0,EXP((input!$G$17-B249)*0.25))</f>
        <v>0</v>
      </c>
      <c r="D249">
        <f t="shared" si="3"/>
        <v>0</v>
      </c>
    </row>
    <row r="250" spans="1:4" x14ac:dyDescent="0.2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IF(B250=0,0,EXP((input!$G$17-B250)*0.25))</f>
        <v>0</v>
      </c>
      <c r="D250">
        <f t="shared" si="3"/>
        <v>0</v>
      </c>
    </row>
    <row r="251" spans="1:4" x14ac:dyDescent="0.2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IF(B251=0,0,EXP((input!$G$17-B251)*0.25))</f>
        <v>0</v>
      </c>
      <c r="D251">
        <f t="shared" si="3"/>
        <v>0</v>
      </c>
    </row>
    <row r="252" spans="1:4" x14ac:dyDescent="0.2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IF(B252=0,0,EXP((input!$G$17-B252)*0.25))</f>
        <v>0</v>
      </c>
      <c r="D252">
        <f t="shared" si="3"/>
        <v>0</v>
      </c>
    </row>
    <row r="253" spans="1:4" x14ac:dyDescent="0.2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IF(B253=0,0,EXP((input!$G$17-B253)*0.25))</f>
        <v>0</v>
      </c>
      <c r="D253">
        <f t="shared" si="3"/>
        <v>0</v>
      </c>
    </row>
    <row r="254" spans="1:4" x14ac:dyDescent="0.2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IF(B254=0,0,EXP((input!$G$17-B254)*0.25))</f>
        <v>0</v>
      </c>
      <c r="D254">
        <f t="shared" si="3"/>
        <v>0</v>
      </c>
    </row>
    <row r="255" spans="1:4" x14ac:dyDescent="0.2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IF(B255=0,0,EXP((input!$G$17-B255)*0.25))</f>
        <v>0</v>
      </c>
      <c r="D255">
        <f t="shared" si="3"/>
        <v>0</v>
      </c>
    </row>
    <row r="256" spans="1:4" x14ac:dyDescent="0.2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IF(B256=0,0,EXP((input!$G$17-B256)*0.25))</f>
        <v>0</v>
      </c>
      <c r="D256">
        <f t="shared" si="3"/>
        <v>0</v>
      </c>
    </row>
    <row r="257" spans="1:4" x14ac:dyDescent="0.2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IF(B257=0,0,EXP((input!$G$17-B257)*0.25))</f>
        <v>0</v>
      </c>
      <c r="D257">
        <f t="shared" si="3"/>
        <v>0</v>
      </c>
    </row>
    <row r="258" spans="1:4" x14ac:dyDescent="0.2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IF(B258=0,0,EXP((input!$G$17-B258)*0.25))</f>
        <v>0</v>
      </c>
      <c r="D258">
        <f t="shared" ref="D258:D321" si="4">C258/SUM($C$1:$C$469)</f>
        <v>0</v>
      </c>
    </row>
    <row r="259" spans="1:4" x14ac:dyDescent="0.2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IF(B259=0,0,EXP((input!$G$17-B259)*0.25))</f>
        <v>0</v>
      </c>
      <c r="D259">
        <f t="shared" si="4"/>
        <v>0</v>
      </c>
    </row>
    <row r="260" spans="1:4" x14ac:dyDescent="0.2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IF(B260=0,0,EXP((input!$G$17-B260)*0.25))</f>
        <v>0</v>
      </c>
      <c r="D260">
        <f t="shared" si="4"/>
        <v>0</v>
      </c>
    </row>
    <row r="261" spans="1:4" x14ac:dyDescent="0.2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IF(B261=0,0,EXP((input!$G$17-B261)*0.25))</f>
        <v>0</v>
      </c>
      <c r="D261">
        <f t="shared" si="4"/>
        <v>0</v>
      </c>
    </row>
    <row r="262" spans="1:4" x14ac:dyDescent="0.2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IF(B262=0,0,EXP((input!$G$17-B262)*0.25))</f>
        <v>0</v>
      </c>
      <c r="D262">
        <f t="shared" si="4"/>
        <v>0</v>
      </c>
    </row>
    <row r="263" spans="1:4" x14ac:dyDescent="0.2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IF(B263=0,0,EXP((input!$G$17-B263)*0.25))</f>
        <v>0</v>
      </c>
      <c r="D263">
        <f t="shared" si="4"/>
        <v>0</v>
      </c>
    </row>
    <row r="264" spans="1:4" x14ac:dyDescent="0.2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0</v>
      </c>
      <c r="C264">
        <f>IF(B264=0,0,EXP((input!$G$17-B264)*0.25))</f>
        <v>0</v>
      </c>
      <c r="D264">
        <f t="shared" si="4"/>
        <v>0</v>
      </c>
    </row>
    <row r="265" spans="1:4" x14ac:dyDescent="0.2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0</v>
      </c>
      <c r="C265">
        <f>IF(B265=0,0,EXP((input!$G$17-B265)*0.25))</f>
        <v>0</v>
      </c>
      <c r="D265">
        <f t="shared" si="4"/>
        <v>0</v>
      </c>
    </row>
    <row r="266" spans="1:4" x14ac:dyDescent="0.2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0</v>
      </c>
      <c r="C266">
        <f>IF(B266=0,0,EXP((input!$G$17-B266)*0.25))</f>
        <v>0</v>
      </c>
      <c r="D266">
        <f t="shared" si="4"/>
        <v>0</v>
      </c>
    </row>
    <row r="267" spans="1:4" x14ac:dyDescent="0.2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0</v>
      </c>
      <c r="C267">
        <f>IF(B267=0,0,EXP((input!$G$17-B267)*0.25))</f>
        <v>0</v>
      </c>
      <c r="D267">
        <f t="shared" si="4"/>
        <v>0</v>
      </c>
    </row>
    <row r="268" spans="1:4" x14ac:dyDescent="0.2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0</v>
      </c>
      <c r="C268">
        <f>IF(B268=0,0,EXP((input!$G$17-B268)*0.25))</f>
        <v>0</v>
      </c>
      <c r="D268">
        <f t="shared" si="4"/>
        <v>0</v>
      </c>
    </row>
    <row r="269" spans="1:4" x14ac:dyDescent="0.2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0</v>
      </c>
      <c r="C269">
        <f>IF(B269=0,0,EXP((input!$G$17-B269)*0.25))</f>
        <v>0</v>
      </c>
      <c r="D269">
        <f t="shared" si="4"/>
        <v>0</v>
      </c>
    </row>
    <row r="270" spans="1:4" x14ac:dyDescent="0.2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0</v>
      </c>
      <c r="C270">
        <f>IF(B270=0,0,EXP((input!$G$17-B270)*0.25))</f>
        <v>0</v>
      </c>
      <c r="D270">
        <f t="shared" si="4"/>
        <v>0</v>
      </c>
    </row>
    <row r="271" spans="1:4" x14ac:dyDescent="0.2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0</v>
      </c>
      <c r="C271">
        <f>IF(B271=0,0,EXP((input!$G$17-B271)*0.25))</f>
        <v>0</v>
      </c>
      <c r="D271">
        <f t="shared" si="4"/>
        <v>0</v>
      </c>
    </row>
    <row r="272" spans="1:4" x14ac:dyDescent="0.2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0</v>
      </c>
      <c r="C272">
        <f>IF(B272=0,0,EXP((input!$G$17-B272)*0.25))</f>
        <v>0</v>
      </c>
      <c r="D272">
        <f t="shared" si="4"/>
        <v>0</v>
      </c>
    </row>
    <row r="273" spans="1:4" x14ac:dyDescent="0.2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0</v>
      </c>
      <c r="C273">
        <f>IF(B273=0,0,EXP((input!$G$17-B273)*0.25))</f>
        <v>0</v>
      </c>
      <c r="D273">
        <f t="shared" si="4"/>
        <v>0</v>
      </c>
    </row>
    <row r="274" spans="1:4" x14ac:dyDescent="0.2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IF(B274=0,0,EXP((input!$G$17-B274)*0.25))</f>
        <v>0</v>
      </c>
      <c r="D274">
        <f t="shared" si="4"/>
        <v>0</v>
      </c>
    </row>
    <row r="275" spans="1:4" x14ac:dyDescent="0.2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IF(B275=0,0,EXP((input!$G$17-B275)*0.25))</f>
        <v>0</v>
      </c>
      <c r="D275">
        <f t="shared" si="4"/>
        <v>0</v>
      </c>
    </row>
    <row r="276" spans="1:4" x14ac:dyDescent="0.2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IF(B276=0,0,EXP((input!$G$17-B276)*0.25))</f>
        <v>0</v>
      </c>
      <c r="D276">
        <f t="shared" si="4"/>
        <v>0</v>
      </c>
    </row>
    <row r="277" spans="1:4" x14ac:dyDescent="0.2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IF(B277=0,0,EXP((input!$G$17-B277)*0.25))</f>
        <v>0</v>
      </c>
      <c r="D277">
        <f t="shared" si="4"/>
        <v>0</v>
      </c>
    </row>
    <row r="278" spans="1:4" x14ac:dyDescent="0.2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IF(B278=0,0,EXP((input!$G$17-B278)*0.25))</f>
        <v>0</v>
      </c>
      <c r="D278">
        <f t="shared" si="4"/>
        <v>0</v>
      </c>
    </row>
    <row r="279" spans="1:4" x14ac:dyDescent="0.2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IF(B279=0,0,EXP((input!$G$17-B279)*0.25))</f>
        <v>0</v>
      </c>
      <c r="D279">
        <f t="shared" si="4"/>
        <v>0</v>
      </c>
    </row>
    <row r="280" spans="1:4" x14ac:dyDescent="0.2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IF(B280=0,0,EXP((input!$G$17-B280)*0.25))</f>
        <v>0</v>
      </c>
      <c r="D280">
        <f t="shared" si="4"/>
        <v>0</v>
      </c>
    </row>
    <row r="281" spans="1:4" x14ac:dyDescent="0.2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IF(B281=0,0,EXP((input!$G$17-B281)*0.25))</f>
        <v>0</v>
      </c>
      <c r="D281">
        <f t="shared" si="4"/>
        <v>0</v>
      </c>
    </row>
    <row r="282" spans="1:4" x14ac:dyDescent="0.2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IF(B282=0,0,EXP((input!$G$17-B282)*0.25))</f>
        <v>0</v>
      </c>
      <c r="D282">
        <f t="shared" si="4"/>
        <v>0</v>
      </c>
    </row>
    <row r="283" spans="1:4" x14ac:dyDescent="0.2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IF(B283=0,0,EXP((input!$G$17-B283)*0.25))</f>
        <v>0</v>
      </c>
      <c r="D283">
        <f t="shared" si="4"/>
        <v>0</v>
      </c>
    </row>
    <row r="284" spans="1:4" x14ac:dyDescent="0.2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IF(B284=0,0,EXP((input!$G$17-B284)*0.25))</f>
        <v>0</v>
      </c>
      <c r="D284">
        <f t="shared" si="4"/>
        <v>0</v>
      </c>
    </row>
    <row r="285" spans="1:4" x14ac:dyDescent="0.2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IF(B285=0,0,EXP((input!$G$17-B285)*0.25))</f>
        <v>0</v>
      </c>
      <c r="D285">
        <f t="shared" si="4"/>
        <v>0</v>
      </c>
    </row>
    <row r="286" spans="1:4" x14ac:dyDescent="0.2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IF(B286=0,0,EXP((input!$G$17-B286)*0.25))</f>
        <v>0</v>
      </c>
      <c r="D286">
        <f t="shared" si="4"/>
        <v>0</v>
      </c>
    </row>
    <row r="287" spans="1:4" x14ac:dyDescent="0.2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IF(B287=0,0,EXP((input!$G$17-B287)*0.25))</f>
        <v>0</v>
      </c>
      <c r="D287">
        <f t="shared" si="4"/>
        <v>0</v>
      </c>
    </row>
    <row r="288" spans="1:4" x14ac:dyDescent="0.2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IF(B288=0,0,EXP((input!$G$17-B288)*0.25))</f>
        <v>0</v>
      </c>
      <c r="D288">
        <f t="shared" si="4"/>
        <v>0</v>
      </c>
    </row>
    <row r="289" spans="1:4" x14ac:dyDescent="0.2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IF(B289=0,0,EXP((input!$G$17-B289)*0.25))</f>
        <v>0</v>
      </c>
      <c r="D289">
        <f t="shared" si="4"/>
        <v>0</v>
      </c>
    </row>
    <row r="290" spans="1:4" x14ac:dyDescent="0.2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IF(B290=0,0,EXP((input!$G$17-B290)*0.25))</f>
        <v>0</v>
      </c>
      <c r="D290">
        <f t="shared" si="4"/>
        <v>0</v>
      </c>
    </row>
    <row r="291" spans="1:4" x14ac:dyDescent="0.2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IF(B291=0,0,EXP((input!$G$17-B291)*0.25))</f>
        <v>0</v>
      </c>
      <c r="D291">
        <f t="shared" si="4"/>
        <v>0</v>
      </c>
    </row>
    <row r="292" spans="1:4" x14ac:dyDescent="0.2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IF(B292=0,0,EXP((input!$G$17-B292)*0.25))</f>
        <v>0</v>
      </c>
      <c r="D292">
        <f t="shared" si="4"/>
        <v>0</v>
      </c>
    </row>
    <row r="293" spans="1:4" x14ac:dyDescent="0.2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IF(B293=0,0,EXP((input!$G$17-B293)*0.25))</f>
        <v>0</v>
      </c>
      <c r="D293">
        <f t="shared" si="4"/>
        <v>0</v>
      </c>
    </row>
    <row r="294" spans="1:4" x14ac:dyDescent="0.2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IF(B294=0,0,EXP((input!$G$17-B294)*0.25))</f>
        <v>0</v>
      </c>
      <c r="D294">
        <f t="shared" si="4"/>
        <v>0</v>
      </c>
    </row>
    <row r="295" spans="1:4" x14ac:dyDescent="0.2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IF(B295=0,0,EXP((input!$G$17-B295)*0.25))</f>
        <v>0</v>
      </c>
      <c r="D295">
        <f t="shared" si="4"/>
        <v>0</v>
      </c>
    </row>
    <row r="296" spans="1:4" x14ac:dyDescent="0.2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IF(B296=0,0,EXP((input!$G$17-B296)*0.25))</f>
        <v>0</v>
      </c>
      <c r="D296">
        <f t="shared" si="4"/>
        <v>0</v>
      </c>
    </row>
    <row r="297" spans="1:4" x14ac:dyDescent="0.2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IF(B297=0,0,EXP((input!$G$17-B297)*0.25))</f>
        <v>0</v>
      </c>
      <c r="D297">
        <f t="shared" si="4"/>
        <v>0</v>
      </c>
    </row>
    <row r="298" spans="1:4" x14ac:dyDescent="0.2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IF(B298=0,0,EXP((input!$G$17-B298)*0.25))</f>
        <v>0</v>
      </c>
      <c r="D298">
        <f t="shared" si="4"/>
        <v>0</v>
      </c>
    </row>
    <row r="299" spans="1:4" x14ac:dyDescent="0.2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IF(B299=0,0,EXP((input!$G$17-B299)*0.25))</f>
        <v>0</v>
      </c>
      <c r="D299">
        <f t="shared" si="4"/>
        <v>0</v>
      </c>
    </row>
    <row r="300" spans="1:4" x14ac:dyDescent="0.2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IF(B300=0,0,EXP((input!$G$17-B300)*0.25))</f>
        <v>0</v>
      </c>
      <c r="D300">
        <f t="shared" si="4"/>
        <v>0</v>
      </c>
    </row>
    <row r="301" spans="1:4" x14ac:dyDescent="0.2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IF(B301=0,0,EXP((input!$G$17-B301)*0.25))</f>
        <v>0</v>
      </c>
      <c r="D301">
        <f t="shared" si="4"/>
        <v>0</v>
      </c>
    </row>
    <row r="302" spans="1:4" x14ac:dyDescent="0.2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IF(B302=0,0,EXP((input!$G$17-B302)*0.25))</f>
        <v>0</v>
      </c>
      <c r="D302">
        <f t="shared" si="4"/>
        <v>0</v>
      </c>
    </row>
    <row r="303" spans="1:4" x14ac:dyDescent="0.2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IF(B303=0,0,EXP((input!$G$17-B303)*0.25))</f>
        <v>0</v>
      </c>
      <c r="D303">
        <f t="shared" si="4"/>
        <v>0</v>
      </c>
    </row>
    <row r="304" spans="1:4" x14ac:dyDescent="0.2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IF(B304=0,0,EXP((input!$G$17-B304)*0.25))</f>
        <v>0</v>
      </c>
      <c r="D304">
        <f t="shared" si="4"/>
        <v>0</v>
      </c>
    </row>
    <row r="305" spans="1:4" x14ac:dyDescent="0.2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IF(B305=0,0,EXP((input!$G$17-B305)*0.25))</f>
        <v>0</v>
      </c>
      <c r="D305">
        <f t="shared" si="4"/>
        <v>0</v>
      </c>
    </row>
    <row r="306" spans="1:4" x14ac:dyDescent="0.2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IF(B306=0,0,EXP((input!$G$17-B306)*0.25))</f>
        <v>0</v>
      </c>
      <c r="D306">
        <f t="shared" si="4"/>
        <v>0</v>
      </c>
    </row>
    <row r="307" spans="1:4" x14ac:dyDescent="0.2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IF(B307=0,0,EXP((input!$G$17-B307)*0.25))</f>
        <v>0</v>
      </c>
      <c r="D307">
        <f t="shared" si="4"/>
        <v>0</v>
      </c>
    </row>
    <row r="308" spans="1:4" x14ac:dyDescent="0.2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IF(B308=0,0,EXP((input!$G$17-B308)*0.25))</f>
        <v>0</v>
      </c>
      <c r="D308">
        <f t="shared" si="4"/>
        <v>0</v>
      </c>
    </row>
    <row r="309" spans="1:4" x14ac:dyDescent="0.2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IF(B309=0,0,EXP((input!$G$17-B309)*0.25))</f>
        <v>0</v>
      </c>
      <c r="D309">
        <f t="shared" si="4"/>
        <v>0</v>
      </c>
    </row>
    <row r="310" spans="1:4" x14ac:dyDescent="0.2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IF(B310=0,0,EXP((input!$G$17-B310)*0.25))</f>
        <v>0</v>
      </c>
      <c r="D310">
        <f t="shared" si="4"/>
        <v>0</v>
      </c>
    </row>
    <row r="311" spans="1:4" x14ac:dyDescent="0.2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IF(B311=0,0,EXP((input!$G$17-B311)*0.25))</f>
        <v>0</v>
      </c>
      <c r="D311">
        <f t="shared" si="4"/>
        <v>0</v>
      </c>
    </row>
    <row r="312" spans="1:4" x14ac:dyDescent="0.2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IF(B312=0,0,EXP((input!$G$17-B312)*0.25))</f>
        <v>0</v>
      </c>
      <c r="D312">
        <f t="shared" si="4"/>
        <v>0</v>
      </c>
    </row>
    <row r="313" spans="1:4" x14ac:dyDescent="0.2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IF(B313=0,0,EXP((input!$G$17-B313)*0.25))</f>
        <v>0</v>
      </c>
      <c r="D313">
        <f t="shared" si="4"/>
        <v>0</v>
      </c>
    </row>
    <row r="314" spans="1:4" x14ac:dyDescent="0.2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IF(B314=0,0,EXP((input!$G$17-B314)*0.25))</f>
        <v>0</v>
      </c>
      <c r="D314">
        <f t="shared" si="4"/>
        <v>0</v>
      </c>
    </row>
    <row r="315" spans="1:4" x14ac:dyDescent="0.2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IF(B315=0,0,EXP((input!$G$17-B315)*0.25))</f>
        <v>0</v>
      </c>
      <c r="D315">
        <f t="shared" si="4"/>
        <v>0</v>
      </c>
    </row>
    <row r="316" spans="1:4" x14ac:dyDescent="0.2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IF(B316=0,0,EXP((input!$G$17-B316)*0.25))</f>
        <v>0</v>
      </c>
      <c r="D316">
        <f t="shared" si="4"/>
        <v>0</v>
      </c>
    </row>
    <row r="317" spans="1:4" x14ac:dyDescent="0.2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IF(B317=0,0,EXP((input!$G$17-B317)*0.25))</f>
        <v>0</v>
      </c>
      <c r="D317">
        <f t="shared" si="4"/>
        <v>0</v>
      </c>
    </row>
    <row r="318" spans="1:4" x14ac:dyDescent="0.2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IF(B318=0,0,EXP((input!$G$17-B318)*0.25))</f>
        <v>0</v>
      </c>
      <c r="D318">
        <f t="shared" si="4"/>
        <v>0</v>
      </c>
    </row>
    <row r="319" spans="1:4" x14ac:dyDescent="0.2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IF(B319=0,0,EXP((input!$G$17-B319)*0.25))</f>
        <v>0</v>
      </c>
      <c r="D319">
        <f t="shared" si="4"/>
        <v>0</v>
      </c>
    </row>
    <row r="320" spans="1:4" x14ac:dyDescent="0.2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IF(B320=0,0,EXP((input!$G$17-B320)*0.25))</f>
        <v>0</v>
      </c>
      <c r="D320">
        <f t="shared" si="4"/>
        <v>0</v>
      </c>
    </row>
    <row r="321" spans="1:4" x14ac:dyDescent="0.2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IF(B321=0,0,EXP((input!$G$17-B321)*0.25))</f>
        <v>0</v>
      </c>
      <c r="D321">
        <f t="shared" si="4"/>
        <v>0</v>
      </c>
    </row>
    <row r="322" spans="1:4" x14ac:dyDescent="0.2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IF(B322=0,0,EXP((input!$G$17-B322)*0.25))</f>
        <v>0</v>
      </c>
      <c r="D322">
        <f t="shared" ref="D322:D385" si="5">C322/SUM($C$1:$C$469)</f>
        <v>0</v>
      </c>
    </row>
    <row r="323" spans="1:4" x14ac:dyDescent="0.2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IF(B323=0,0,EXP((input!$G$17-B323)*0.25))</f>
        <v>0</v>
      </c>
      <c r="D323">
        <f t="shared" si="5"/>
        <v>0</v>
      </c>
    </row>
    <row r="324" spans="1:4" x14ac:dyDescent="0.2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IF(B324=0,0,EXP((input!$G$17-B324)*0.25))</f>
        <v>0</v>
      </c>
      <c r="D324">
        <f t="shared" si="5"/>
        <v>0</v>
      </c>
    </row>
    <row r="325" spans="1:4" x14ac:dyDescent="0.2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IF(B325=0,0,EXP((input!$G$17-B325)*0.25))</f>
        <v>0</v>
      </c>
      <c r="D325">
        <f t="shared" si="5"/>
        <v>0</v>
      </c>
    </row>
    <row r="326" spans="1:4" x14ac:dyDescent="0.2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IF(B326=0,0,EXP((input!$G$17-B326)*0.25))</f>
        <v>0</v>
      </c>
      <c r="D326">
        <f t="shared" si="5"/>
        <v>0</v>
      </c>
    </row>
    <row r="327" spans="1:4" x14ac:dyDescent="0.2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IF(B327=0,0,EXP((input!$G$17-B327)*0.25))</f>
        <v>0</v>
      </c>
      <c r="D327">
        <f t="shared" si="5"/>
        <v>0</v>
      </c>
    </row>
    <row r="328" spans="1:4" x14ac:dyDescent="0.2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IF(B328=0,0,EXP((input!$G$17-B328)*0.25))</f>
        <v>0</v>
      </c>
      <c r="D328">
        <f t="shared" si="5"/>
        <v>0</v>
      </c>
    </row>
    <row r="329" spans="1:4" x14ac:dyDescent="0.2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IF(B329=0,0,EXP((input!$G$17-B329)*0.25))</f>
        <v>0</v>
      </c>
      <c r="D329">
        <f t="shared" si="5"/>
        <v>0</v>
      </c>
    </row>
    <row r="330" spans="1:4" x14ac:dyDescent="0.2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IF(B330=0,0,EXP((input!$G$17-B330)*0.25))</f>
        <v>0</v>
      </c>
      <c r="D330">
        <f t="shared" si="5"/>
        <v>0</v>
      </c>
    </row>
    <row r="331" spans="1:4" x14ac:dyDescent="0.2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IF(B331=0,0,EXP((input!$G$17-B331)*0.25))</f>
        <v>0</v>
      </c>
      <c r="D331">
        <f t="shared" si="5"/>
        <v>0</v>
      </c>
    </row>
    <row r="332" spans="1:4" x14ac:dyDescent="0.2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IF(B332=0,0,EXP((input!$G$17-B332)*0.25))</f>
        <v>0</v>
      </c>
      <c r="D332">
        <f t="shared" si="5"/>
        <v>0</v>
      </c>
    </row>
    <row r="333" spans="1:4" x14ac:dyDescent="0.2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IF(B333=0,0,EXP((input!$G$17-B333)*0.25))</f>
        <v>0</v>
      </c>
      <c r="D333">
        <f t="shared" si="5"/>
        <v>0</v>
      </c>
    </row>
    <row r="334" spans="1:4" x14ac:dyDescent="0.2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IF(B334=0,0,EXP((input!$G$17-B334)*0.25))</f>
        <v>0</v>
      </c>
      <c r="D334">
        <f t="shared" si="5"/>
        <v>0</v>
      </c>
    </row>
    <row r="335" spans="1:4" x14ac:dyDescent="0.2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IF(B335=0,0,EXP((input!$G$17-B335)*0.25))</f>
        <v>0</v>
      </c>
      <c r="D335">
        <f t="shared" si="5"/>
        <v>0</v>
      </c>
    </row>
    <row r="336" spans="1:4" x14ac:dyDescent="0.2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IF(B336=0,0,EXP((input!$G$17-B336)*0.25))</f>
        <v>0</v>
      </c>
      <c r="D336">
        <f t="shared" si="5"/>
        <v>0</v>
      </c>
    </row>
    <row r="337" spans="1:4" x14ac:dyDescent="0.2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IF(B337=0,0,EXP((input!$G$17-B337)*0.25))</f>
        <v>0</v>
      </c>
      <c r="D337">
        <f t="shared" si="5"/>
        <v>0</v>
      </c>
    </row>
    <row r="338" spans="1:4" x14ac:dyDescent="0.2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0</v>
      </c>
      <c r="C338">
        <f>IF(B338=0,0,EXP((input!$G$17-B338)*0.25))</f>
        <v>0</v>
      </c>
      <c r="D338">
        <f t="shared" si="5"/>
        <v>0</v>
      </c>
    </row>
    <row r="339" spans="1:4" x14ac:dyDescent="0.2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0</v>
      </c>
      <c r="C339">
        <f>IF(B339=0,0,EXP((input!$G$17-B339)*0.25))</f>
        <v>0</v>
      </c>
      <c r="D339">
        <f t="shared" si="5"/>
        <v>0</v>
      </c>
    </row>
    <row r="340" spans="1:4" x14ac:dyDescent="0.2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0</v>
      </c>
      <c r="C340">
        <f>IF(B340=0,0,EXP((input!$G$17-B340)*0.25))</f>
        <v>0</v>
      </c>
      <c r="D340">
        <f t="shared" si="5"/>
        <v>0</v>
      </c>
    </row>
    <row r="341" spans="1:4" x14ac:dyDescent="0.2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0</v>
      </c>
      <c r="C341">
        <f>IF(B341=0,0,EXP((input!$G$17-B341)*0.25))</f>
        <v>0</v>
      </c>
      <c r="D341">
        <f t="shared" si="5"/>
        <v>0</v>
      </c>
    </row>
    <row r="342" spans="1:4" x14ac:dyDescent="0.2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0</v>
      </c>
      <c r="C342">
        <f>IF(B342=0,0,EXP((input!$G$17-B342)*0.25))</f>
        <v>0</v>
      </c>
      <c r="D342">
        <f t="shared" si="5"/>
        <v>0</v>
      </c>
    </row>
    <row r="343" spans="1:4" x14ac:dyDescent="0.2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0</v>
      </c>
      <c r="C343">
        <f>IF(B343=0,0,EXP((input!$G$17-B343)*0.25))</f>
        <v>0</v>
      </c>
      <c r="D343">
        <f t="shared" si="5"/>
        <v>0</v>
      </c>
    </row>
    <row r="344" spans="1:4" x14ac:dyDescent="0.2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0</v>
      </c>
      <c r="C344">
        <f>IF(B344=0,0,EXP((input!$G$17-B344)*0.25))</f>
        <v>0</v>
      </c>
      <c r="D344">
        <f t="shared" si="5"/>
        <v>0</v>
      </c>
    </row>
    <row r="345" spans="1:4" x14ac:dyDescent="0.2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0</v>
      </c>
      <c r="C345">
        <f>IF(B345=0,0,EXP((input!$G$17-B345)*0.25))</f>
        <v>0</v>
      </c>
      <c r="D345">
        <f t="shared" si="5"/>
        <v>0</v>
      </c>
    </row>
    <row r="346" spans="1:4" x14ac:dyDescent="0.2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0</v>
      </c>
      <c r="C346">
        <f>IF(B346=0,0,EXP((input!$G$17-B346)*0.25))</f>
        <v>0</v>
      </c>
      <c r="D346">
        <f t="shared" si="5"/>
        <v>0</v>
      </c>
    </row>
    <row r="347" spans="1:4" x14ac:dyDescent="0.2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0</v>
      </c>
      <c r="C347">
        <f>IF(B347=0,0,EXP((input!$G$17-B347)*0.25))</f>
        <v>0</v>
      </c>
      <c r="D347">
        <f t="shared" si="5"/>
        <v>0</v>
      </c>
    </row>
    <row r="348" spans="1:4" x14ac:dyDescent="0.2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IF(B348=0,0,EXP((input!$G$17-B348)*0.25))</f>
        <v>0</v>
      </c>
      <c r="D348">
        <f t="shared" si="5"/>
        <v>0</v>
      </c>
    </row>
    <row r="349" spans="1:4" x14ac:dyDescent="0.2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IF(B349=0,0,EXP((input!$G$17-B349)*0.25))</f>
        <v>0</v>
      </c>
      <c r="D349">
        <f t="shared" si="5"/>
        <v>0</v>
      </c>
    </row>
    <row r="350" spans="1:4" x14ac:dyDescent="0.2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IF(B350=0,0,EXP((input!$G$17-B350)*0.25))</f>
        <v>0</v>
      </c>
      <c r="D350">
        <f t="shared" si="5"/>
        <v>0</v>
      </c>
    </row>
    <row r="351" spans="1:4" x14ac:dyDescent="0.2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IF(B351=0,0,EXP((input!$G$17-B351)*0.25))</f>
        <v>0</v>
      </c>
      <c r="D351">
        <f t="shared" si="5"/>
        <v>0</v>
      </c>
    </row>
    <row r="352" spans="1:4" x14ac:dyDescent="0.2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IF(B352=0,0,EXP((input!$G$17-B352)*0.25))</f>
        <v>0</v>
      </c>
      <c r="D352">
        <f t="shared" si="5"/>
        <v>0</v>
      </c>
    </row>
    <row r="353" spans="1:4" x14ac:dyDescent="0.2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IF(B353=0,0,EXP((input!$G$17-B353)*0.25))</f>
        <v>0</v>
      </c>
      <c r="D353">
        <f t="shared" si="5"/>
        <v>0</v>
      </c>
    </row>
    <row r="354" spans="1:4" x14ac:dyDescent="0.2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IF(B354=0,0,EXP((input!$G$17-B354)*0.25))</f>
        <v>0</v>
      </c>
      <c r="D354">
        <f t="shared" si="5"/>
        <v>0</v>
      </c>
    </row>
    <row r="355" spans="1:4" x14ac:dyDescent="0.2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IF(B355=0,0,EXP((input!$G$17-B355)*0.25))</f>
        <v>0</v>
      </c>
      <c r="D355">
        <f t="shared" si="5"/>
        <v>0</v>
      </c>
    </row>
    <row r="356" spans="1:4" x14ac:dyDescent="0.2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IF(B356=0,0,EXP((input!$G$17-B356)*0.25))</f>
        <v>0</v>
      </c>
      <c r="D356">
        <f t="shared" si="5"/>
        <v>0</v>
      </c>
    </row>
    <row r="357" spans="1:4" x14ac:dyDescent="0.2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IF(B357=0,0,EXP((input!$G$17-B357)*0.25))</f>
        <v>0</v>
      </c>
      <c r="D357">
        <f t="shared" si="5"/>
        <v>0</v>
      </c>
    </row>
    <row r="358" spans="1:4" x14ac:dyDescent="0.2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IF(B358=0,0,EXP((input!$G$17-B358)*0.25))</f>
        <v>0</v>
      </c>
      <c r="D358">
        <f t="shared" si="5"/>
        <v>0</v>
      </c>
    </row>
    <row r="359" spans="1:4" x14ac:dyDescent="0.2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IF(B359=0,0,EXP((input!$G$17-B359)*0.25))</f>
        <v>0</v>
      </c>
      <c r="D359">
        <f t="shared" si="5"/>
        <v>0</v>
      </c>
    </row>
    <row r="360" spans="1:4" x14ac:dyDescent="0.2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IF(B360=0,0,EXP((input!$G$17-B360)*0.25))</f>
        <v>0</v>
      </c>
      <c r="D360">
        <f t="shared" si="5"/>
        <v>0</v>
      </c>
    </row>
    <row r="361" spans="1:4" x14ac:dyDescent="0.2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IF(B361=0,0,EXP((input!$G$17-B361)*0.25))</f>
        <v>0</v>
      </c>
      <c r="D361">
        <f t="shared" si="5"/>
        <v>0</v>
      </c>
    </row>
    <row r="362" spans="1:4" x14ac:dyDescent="0.2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IF(B362=0,0,EXP((input!$G$17-B362)*0.25))</f>
        <v>0</v>
      </c>
      <c r="D362">
        <f t="shared" si="5"/>
        <v>0</v>
      </c>
    </row>
    <row r="363" spans="1:4" x14ac:dyDescent="0.2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IF(B363=0,0,EXP((input!$G$17-B363)*0.25))</f>
        <v>0</v>
      </c>
      <c r="D363">
        <f t="shared" si="5"/>
        <v>0</v>
      </c>
    </row>
    <row r="364" spans="1:4" x14ac:dyDescent="0.2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IF(B364=0,0,EXP((input!$G$17-B364)*0.25))</f>
        <v>0</v>
      </c>
      <c r="D364">
        <f t="shared" si="5"/>
        <v>0</v>
      </c>
    </row>
    <row r="365" spans="1:4" x14ac:dyDescent="0.2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IF(B365=0,0,EXP((input!$G$17-B365)*0.25))</f>
        <v>0</v>
      </c>
      <c r="D365">
        <f t="shared" si="5"/>
        <v>0</v>
      </c>
    </row>
    <row r="366" spans="1:4" x14ac:dyDescent="0.2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IF(B366=0,0,EXP((input!$G$17-B366)*0.25))</f>
        <v>0</v>
      </c>
      <c r="D366">
        <f t="shared" si="5"/>
        <v>0</v>
      </c>
    </row>
    <row r="367" spans="1:4" x14ac:dyDescent="0.2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IF(B367=0,0,EXP((input!$G$17-B367)*0.25))</f>
        <v>0</v>
      </c>
      <c r="D367">
        <f t="shared" si="5"/>
        <v>0</v>
      </c>
    </row>
    <row r="368" spans="1:4" x14ac:dyDescent="0.2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IF(B368=0,0,EXP((input!$G$17-B368)*0.25))</f>
        <v>0</v>
      </c>
      <c r="D368">
        <f t="shared" si="5"/>
        <v>0</v>
      </c>
    </row>
    <row r="369" spans="1:4" x14ac:dyDescent="0.2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IF(B369=0,0,EXP((input!$G$17-B369)*0.25))</f>
        <v>0</v>
      </c>
      <c r="D369">
        <f t="shared" si="5"/>
        <v>0</v>
      </c>
    </row>
    <row r="370" spans="1:4" x14ac:dyDescent="0.2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IF(B370=0,0,EXP((input!$G$17-B370)*0.25))</f>
        <v>0</v>
      </c>
      <c r="D370">
        <f t="shared" si="5"/>
        <v>0</v>
      </c>
    </row>
    <row r="371" spans="1:4" x14ac:dyDescent="0.2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IF(B371=0,0,EXP((input!$G$17-B371)*0.25))</f>
        <v>0</v>
      </c>
      <c r="D371">
        <f t="shared" si="5"/>
        <v>0</v>
      </c>
    </row>
    <row r="372" spans="1:4" x14ac:dyDescent="0.2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IF(B372=0,0,EXP((input!$G$17-B372)*0.25))</f>
        <v>0</v>
      </c>
      <c r="D372">
        <f t="shared" si="5"/>
        <v>0</v>
      </c>
    </row>
    <row r="373" spans="1:4" x14ac:dyDescent="0.2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IF(B373=0,0,EXP((input!$G$17-B373)*0.25))</f>
        <v>0</v>
      </c>
      <c r="D373">
        <f t="shared" si="5"/>
        <v>0</v>
      </c>
    </row>
    <row r="374" spans="1:4" x14ac:dyDescent="0.2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IF(B374=0,0,EXP((input!$G$17-B374)*0.25))</f>
        <v>0</v>
      </c>
      <c r="D374">
        <f t="shared" si="5"/>
        <v>0</v>
      </c>
    </row>
    <row r="375" spans="1:4" x14ac:dyDescent="0.2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IF(B375=0,0,EXP((input!$G$17-B375)*0.25))</f>
        <v>0</v>
      </c>
      <c r="D375">
        <f t="shared" si="5"/>
        <v>0</v>
      </c>
    </row>
    <row r="376" spans="1:4" x14ac:dyDescent="0.2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IF(B376=0,0,EXP((input!$G$17-B376)*0.25))</f>
        <v>0</v>
      </c>
      <c r="D376">
        <f t="shared" si="5"/>
        <v>0</v>
      </c>
    </row>
    <row r="377" spans="1:4" x14ac:dyDescent="0.2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IF(B377=0,0,EXP((input!$G$17-B377)*0.25))</f>
        <v>0</v>
      </c>
      <c r="D377">
        <f t="shared" si="5"/>
        <v>0</v>
      </c>
    </row>
    <row r="378" spans="1:4" x14ac:dyDescent="0.2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IF(B378=0,0,EXP((input!$G$17-B378)*0.25))</f>
        <v>0</v>
      </c>
      <c r="D378">
        <f t="shared" si="5"/>
        <v>0</v>
      </c>
    </row>
    <row r="379" spans="1:4" x14ac:dyDescent="0.2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IF(B379=0,0,EXP((input!$G$17-B379)*0.25))</f>
        <v>0</v>
      </c>
      <c r="D379">
        <f t="shared" si="5"/>
        <v>0</v>
      </c>
    </row>
    <row r="380" spans="1:4" x14ac:dyDescent="0.2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IF(B380=0,0,EXP((input!$G$17-B380)*0.25))</f>
        <v>0</v>
      </c>
      <c r="D380">
        <f t="shared" si="5"/>
        <v>0</v>
      </c>
    </row>
    <row r="381" spans="1:4" x14ac:dyDescent="0.2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IF(B381=0,0,EXP((input!$G$17-B381)*0.25))</f>
        <v>0</v>
      </c>
      <c r="D381">
        <f t="shared" si="5"/>
        <v>0</v>
      </c>
    </row>
    <row r="382" spans="1:4" x14ac:dyDescent="0.2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0</v>
      </c>
      <c r="C382">
        <f>IF(B382=0,0,EXP((input!$G$17-B382)*0.25))</f>
        <v>0</v>
      </c>
      <c r="D382">
        <f t="shared" si="5"/>
        <v>0</v>
      </c>
    </row>
    <row r="383" spans="1:4" x14ac:dyDescent="0.2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0</v>
      </c>
      <c r="C383">
        <f>IF(B383=0,0,EXP((input!$G$17-B383)*0.25))</f>
        <v>0</v>
      </c>
      <c r="D383">
        <f t="shared" si="5"/>
        <v>0</v>
      </c>
    </row>
    <row r="384" spans="1:4" x14ac:dyDescent="0.2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0</v>
      </c>
      <c r="C384">
        <f>IF(B384=0,0,EXP((input!$G$17-B384)*0.25))</f>
        <v>0</v>
      </c>
      <c r="D384">
        <f t="shared" si="5"/>
        <v>0</v>
      </c>
    </row>
    <row r="385" spans="1:4" x14ac:dyDescent="0.2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0</v>
      </c>
      <c r="C385">
        <f>IF(B385=0,0,EXP((input!$G$17-B385)*0.25))</f>
        <v>0</v>
      </c>
      <c r="D385">
        <f t="shared" si="5"/>
        <v>0</v>
      </c>
    </row>
    <row r="386" spans="1:4" x14ac:dyDescent="0.2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0</v>
      </c>
      <c r="C386">
        <f>IF(B386=0,0,EXP((input!$G$17-B386)*0.25))</f>
        <v>0</v>
      </c>
      <c r="D386">
        <f t="shared" ref="D386:D449" si="6">C386/SUM($C$1:$C$469)</f>
        <v>0</v>
      </c>
    </row>
    <row r="387" spans="1:4" x14ac:dyDescent="0.2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0</v>
      </c>
      <c r="C387">
        <f>IF(B387=0,0,EXP((input!$G$17-B387)*0.25))</f>
        <v>0</v>
      </c>
      <c r="D387">
        <f t="shared" si="6"/>
        <v>0</v>
      </c>
    </row>
    <row r="388" spans="1:4" x14ac:dyDescent="0.2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0</v>
      </c>
      <c r="C388">
        <f>IF(B388=0,0,EXP((input!$G$17-B388)*0.25))</f>
        <v>0</v>
      </c>
      <c r="D388">
        <f t="shared" si="6"/>
        <v>0</v>
      </c>
    </row>
    <row r="389" spans="1:4" x14ac:dyDescent="0.2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0</v>
      </c>
      <c r="C389">
        <f>IF(B389=0,0,EXP((input!$G$17-B389)*0.25))</f>
        <v>0</v>
      </c>
      <c r="D389">
        <f t="shared" si="6"/>
        <v>0</v>
      </c>
    </row>
    <row r="390" spans="1:4" x14ac:dyDescent="0.2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0</v>
      </c>
      <c r="C390">
        <f>IF(B390=0,0,EXP((input!$G$17-B390)*0.25))</f>
        <v>0</v>
      </c>
      <c r="D390">
        <f t="shared" si="6"/>
        <v>0</v>
      </c>
    </row>
    <row r="391" spans="1:4" x14ac:dyDescent="0.2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0</v>
      </c>
      <c r="C391">
        <f>IF(B391=0,0,EXP((input!$G$17-B391)*0.25))</f>
        <v>0</v>
      </c>
      <c r="D391">
        <f t="shared" si="6"/>
        <v>0</v>
      </c>
    </row>
    <row r="392" spans="1:4" x14ac:dyDescent="0.2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IF(B392=0,0,EXP((input!$G$17-B392)*0.25))</f>
        <v>0</v>
      </c>
      <c r="D392">
        <f t="shared" si="6"/>
        <v>0</v>
      </c>
    </row>
    <row r="393" spans="1:4" x14ac:dyDescent="0.2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IF(B393=0,0,EXP((input!$G$17-B393)*0.25))</f>
        <v>0</v>
      </c>
      <c r="D393">
        <f t="shared" si="6"/>
        <v>0</v>
      </c>
    </row>
    <row r="394" spans="1:4" x14ac:dyDescent="0.2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IF(B394=0,0,EXP((input!$G$17-B394)*0.25))</f>
        <v>0</v>
      </c>
      <c r="D394">
        <f t="shared" si="6"/>
        <v>0</v>
      </c>
    </row>
    <row r="395" spans="1:4" x14ac:dyDescent="0.2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IF(B395=0,0,EXP((input!$G$17-B395)*0.25))</f>
        <v>0</v>
      </c>
      <c r="D395">
        <f t="shared" si="6"/>
        <v>0</v>
      </c>
    </row>
    <row r="396" spans="1:4" x14ac:dyDescent="0.2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IF(B396=0,0,EXP((input!$G$17-B396)*0.25))</f>
        <v>0</v>
      </c>
      <c r="D396">
        <f t="shared" si="6"/>
        <v>0</v>
      </c>
    </row>
    <row r="397" spans="1:4" x14ac:dyDescent="0.2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IF(B397=0,0,EXP((input!$G$17-B397)*0.25))</f>
        <v>0</v>
      </c>
      <c r="D397">
        <f t="shared" si="6"/>
        <v>0</v>
      </c>
    </row>
    <row r="398" spans="1:4" x14ac:dyDescent="0.2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IF(B398=0,0,EXP((input!$G$17-B398)*0.25))</f>
        <v>0</v>
      </c>
      <c r="D398">
        <f t="shared" si="6"/>
        <v>0</v>
      </c>
    </row>
    <row r="399" spans="1:4" x14ac:dyDescent="0.2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IF(B399=0,0,EXP((input!$G$17-B399)*0.25))</f>
        <v>0</v>
      </c>
      <c r="D399">
        <f t="shared" si="6"/>
        <v>0</v>
      </c>
    </row>
    <row r="400" spans="1:4" x14ac:dyDescent="0.2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IF(B400=0,0,EXP((input!$G$17-B400)*0.25))</f>
        <v>0</v>
      </c>
      <c r="D400">
        <f t="shared" si="6"/>
        <v>0</v>
      </c>
    </row>
    <row r="401" spans="1:4" x14ac:dyDescent="0.2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IF(B401=0,0,EXP((input!$G$17-B401)*0.25))</f>
        <v>0</v>
      </c>
      <c r="D401">
        <f t="shared" si="6"/>
        <v>0</v>
      </c>
    </row>
    <row r="402" spans="1:4" x14ac:dyDescent="0.2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IF(B402=0,0,EXP((input!$G$17-B402)*0.25))</f>
        <v>0</v>
      </c>
      <c r="D402">
        <f t="shared" si="6"/>
        <v>0</v>
      </c>
    </row>
    <row r="403" spans="1:4" x14ac:dyDescent="0.2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IF(B403=0,0,EXP((input!$G$17-B403)*0.25))</f>
        <v>0</v>
      </c>
      <c r="D403">
        <f t="shared" si="6"/>
        <v>0</v>
      </c>
    </row>
    <row r="404" spans="1:4" x14ac:dyDescent="0.2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IF(B404=0,0,EXP((input!$G$17-B404)*0.25))</f>
        <v>0</v>
      </c>
      <c r="D404">
        <f t="shared" si="6"/>
        <v>0</v>
      </c>
    </row>
    <row r="405" spans="1:4" x14ac:dyDescent="0.2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IF(B405=0,0,EXP((input!$G$17-B405)*0.25))</f>
        <v>0</v>
      </c>
      <c r="D405">
        <f t="shared" si="6"/>
        <v>0</v>
      </c>
    </row>
    <row r="406" spans="1:4" x14ac:dyDescent="0.2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IF(B406=0,0,EXP((input!$G$17-B406)*0.25))</f>
        <v>0</v>
      </c>
      <c r="D406">
        <f t="shared" si="6"/>
        <v>0</v>
      </c>
    </row>
    <row r="407" spans="1:4" x14ac:dyDescent="0.2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IF(B407=0,0,EXP((input!$G$17-B407)*0.25))</f>
        <v>0</v>
      </c>
      <c r="D407">
        <f t="shared" si="6"/>
        <v>0</v>
      </c>
    </row>
    <row r="408" spans="1:4" x14ac:dyDescent="0.2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IF(B408=0,0,EXP((input!$G$17-B408)*0.25))</f>
        <v>0</v>
      </c>
      <c r="D408">
        <f t="shared" si="6"/>
        <v>0</v>
      </c>
    </row>
    <row r="409" spans="1:4" x14ac:dyDescent="0.2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IF(B409=0,0,EXP((input!$G$17-B409)*0.25))</f>
        <v>0</v>
      </c>
      <c r="D409">
        <f t="shared" si="6"/>
        <v>0</v>
      </c>
    </row>
    <row r="410" spans="1:4" x14ac:dyDescent="0.2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IF(B410=0,0,EXP((input!$G$17-B410)*0.25))</f>
        <v>0</v>
      </c>
      <c r="D410">
        <f t="shared" si="6"/>
        <v>0</v>
      </c>
    </row>
    <row r="411" spans="1:4" x14ac:dyDescent="0.2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IF(B411=0,0,EXP((input!$G$17-B411)*0.25))</f>
        <v>0</v>
      </c>
      <c r="D411">
        <f t="shared" si="6"/>
        <v>0</v>
      </c>
    </row>
    <row r="412" spans="1:4" x14ac:dyDescent="0.2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IF(B412=0,0,EXP((input!$G$17-B412)*0.25))</f>
        <v>0</v>
      </c>
      <c r="D412">
        <f t="shared" si="6"/>
        <v>0</v>
      </c>
    </row>
    <row r="413" spans="1:4" x14ac:dyDescent="0.2">
      <c r="A413" s="3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IF(B413=0,0,EXP((input!$G$17-B413)*0.25))</f>
        <v>0</v>
      </c>
      <c r="D413">
        <f t="shared" si="6"/>
        <v>0</v>
      </c>
    </row>
    <row r="414" spans="1:4" x14ac:dyDescent="0.2">
      <c r="A414" s="3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IF(B414=0,0,EXP((input!$G$17-B414)*0.25))</f>
        <v>0</v>
      </c>
      <c r="D414">
        <f t="shared" si="6"/>
        <v>0</v>
      </c>
    </row>
    <row r="415" spans="1:4" x14ac:dyDescent="0.2">
      <c r="A415" s="3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IF(B415=0,0,EXP((input!$G$17-B415)*0.25))</f>
        <v>0</v>
      </c>
      <c r="D415">
        <f t="shared" si="6"/>
        <v>0</v>
      </c>
    </row>
    <row r="416" spans="1:4" x14ac:dyDescent="0.2">
      <c r="A416" s="3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IF(B416=0,0,EXP((input!$G$17-B416)*0.25))</f>
        <v>0</v>
      </c>
      <c r="D416">
        <f t="shared" si="6"/>
        <v>0</v>
      </c>
    </row>
    <row r="417" spans="1:4" x14ac:dyDescent="0.2">
      <c r="A417" s="3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IF(B417=0,0,EXP((input!$G$17-B417)*0.25))</f>
        <v>0</v>
      </c>
      <c r="D417">
        <f t="shared" si="6"/>
        <v>0</v>
      </c>
    </row>
    <row r="418" spans="1:4" x14ac:dyDescent="0.2">
      <c r="A418" s="3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IF(B418=0,0,EXP((input!$G$17-B418)*0.25))</f>
        <v>0</v>
      </c>
      <c r="D418">
        <f t="shared" si="6"/>
        <v>0</v>
      </c>
    </row>
    <row r="419" spans="1:4" x14ac:dyDescent="0.2">
      <c r="A419" s="3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IF(B419=0,0,EXP((input!$G$17-B419)*0.25))</f>
        <v>0</v>
      </c>
      <c r="D419">
        <f t="shared" si="6"/>
        <v>0</v>
      </c>
    </row>
    <row r="420" spans="1:4" x14ac:dyDescent="0.2">
      <c r="A420" s="3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IF(B420=0,0,EXP((input!$G$17-B420)*0.25))</f>
        <v>0</v>
      </c>
      <c r="D420">
        <f t="shared" si="6"/>
        <v>0</v>
      </c>
    </row>
    <row r="421" spans="1:4" x14ac:dyDescent="0.2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IF(B421=0,0,EXP((input!$G$17-B421)*0.25))</f>
        <v>0</v>
      </c>
      <c r="D421">
        <f t="shared" si="6"/>
        <v>0</v>
      </c>
    </row>
    <row r="422" spans="1:4" x14ac:dyDescent="0.2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IF(B422=0,0,EXP((input!$G$17-B422)*0.25))</f>
        <v>0</v>
      </c>
      <c r="D422">
        <f t="shared" si="6"/>
        <v>0</v>
      </c>
    </row>
    <row r="423" spans="1:4" x14ac:dyDescent="0.2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IF(B423=0,0,EXP((input!$G$17-B423)*0.25))</f>
        <v>0</v>
      </c>
      <c r="D423">
        <f t="shared" si="6"/>
        <v>0</v>
      </c>
    </row>
    <row r="424" spans="1:4" x14ac:dyDescent="0.2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IF(B424=0,0,EXP((input!$G$17-B424)*0.25))</f>
        <v>0</v>
      </c>
      <c r="D424">
        <f t="shared" si="6"/>
        <v>0</v>
      </c>
    </row>
    <row r="425" spans="1:4" x14ac:dyDescent="0.2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IF(B425=0,0,EXP((input!$G$17-B425)*0.25))</f>
        <v>0</v>
      </c>
      <c r="D425">
        <f t="shared" si="6"/>
        <v>0</v>
      </c>
    </row>
    <row r="426" spans="1:4" x14ac:dyDescent="0.2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IF(B426=0,0,EXP((input!$G$17-B426)*0.25))</f>
        <v>0</v>
      </c>
      <c r="D426">
        <f t="shared" si="6"/>
        <v>0</v>
      </c>
    </row>
    <row r="427" spans="1:4" x14ac:dyDescent="0.2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IF(B427=0,0,EXP((input!$G$17-B427)*0.25))</f>
        <v>0</v>
      </c>
      <c r="D427">
        <f t="shared" si="6"/>
        <v>0</v>
      </c>
    </row>
    <row r="428" spans="1:4" x14ac:dyDescent="0.2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IF(B428=0,0,EXP((input!$G$17-B428)*0.25))</f>
        <v>0</v>
      </c>
      <c r="D428">
        <f t="shared" si="6"/>
        <v>0</v>
      </c>
    </row>
    <row r="429" spans="1:4" x14ac:dyDescent="0.2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IF(B429=0,0,EXP((input!$G$17-B429)*0.25))</f>
        <v>0</v>
      </c>
      <c r="D429">
        <f t="shared" si="6"/>
        <v>0</v>
      </c>
    </row>
    <row r="430" spans="1:4" x14ac:dyDescent="0.2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IF(B430=0,0,EXP((input!$G$17-B430)*0.25))</f>
        <v>0</v>
      </c>
      <c r="D430">
        <f t="shared" si="6"/>
        <v>0</v>
      </c>
    </row>
    <row r="431" spans="1:4" x14ac:dyDescent="0.2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IF(B431=0,0,EXP((input!$G$17-B431)*0.25))</f>
        <v>0</v>
      </c>
      <c r="D431">
        <f t="shared" si="6"/>
        <v>0</v>
      </c>
    </row>
    <row r="432" spans="1:4" x14ac:dyDescent="0.2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IF(B432=0,0,EXP((input!$G$17-B432)*0.25))</f>
        <v>0</v>
      </c>
      <c r="D432">
        <f t="shared" si="6"/>
        <v>0</v>
      </c>
    </row>
    <row r="433" spans="1:4" x14ac:dyDescent="0.2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IF(B433=0,0,EXP((input!$G$17-B433)*0.25))</f>
        <v>0</v>
      </c>
      <c r="D433">
        <f t="shared" si="6"/>
        <v>0</v>
      </c>
    </row>
    <row r="434" spans="1:4" x14ac:dyDescent="0.2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IF(B434=0,0,EXP((input!$G$17-B434)*0.25))</f>
        <v>0</v>
      </c>
      <c r="D434">
        <f t="shared" si="6"/>
        <v>0</v>
      </c>
    </row>
    <row r="435" spans="1:4" x14ac:dyDescent="0.2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IF(B435=0,0,EXP((input!$G$17-B435)*0.25))</f>
        <v>0</v>
      </c>
      <c r="D435">
        <f t="shared" si="6"/>
        <v>0</v>
      </c>
    </row>
    <row r="436" spans="1:4" x14ac:dyDescent="0.2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IF(B436=0,0,EXP((input!$G$17-B436)*0.25))</f>
        <v>0</v>
      </c>
      <c r="D436">
        <f t="shared" si="6"/>
        <v>0</v>
      </c>
    </row>
    <row r="437" spans="1:4" x14ac:dyDescent="0.2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IF(B437=0,0,EXP((input!$G$17-B437)*0.25))</f>
        <v>0</v>
      </c>
      <c r="D437">
        <f t="shared" si="6"/>
        <v>0</v>
      </c>
    </row>
    <row r="438" spans="1:4" x14ac:dyDescent="0.2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IF(B438=0,0,EXP((input!$G$17-B438)*0.25))</f>
        <v>0</v>
      </c>
      <c r="D438">
        <f t="shared" si="6"/>
        <v>0</v>
      </c>
    </row>
    <row r="439" spans="1:4" x14ac:dyDescent="0.2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IF(B439=0,0,EXP((input!$G$17-B439)*0.25))</f>
        <v>0</v>
      </c>
      <c r="D439">
        <f t="shared" si="6"/>
        <v>0</v>
      </c>
    </row>
    <row r="440" spans="1:4" x14ac:dyDescent="0.2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IF(B440=0,0,EXP((input!$G$17-B440)*0.25))</f>
        <v>0</v>
      </c>
      <c r="D440">
        <f t="shared" si="6"/>
        <v>0</v>
      </c>
    </row>
    <row r="441" spans="1:4" x14ac:dyDescent="0.2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IF(B441=0,0,EXP((input!$G$17-B441)*0.25))</f>
        <v>0</v>
      </c>
      <c r="D441">
        <f t="shared" si="6"/>
        <v>0</v>
      </c>
    </row>
    <row r="442" spans="1:4" x14ac:dyDescent="0.2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IF(B442=0,0,EXP((input!$G$17-B442)*0.25))</f>
        <v>0</v>
      </c>
      <c r="D442">
        <f t="shared" si="6"/>
        <v>0</v>
      </c>
    </row>
    <row r="443" spans="1:4" x14ac:dyDescent="0.2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IF(B443=0,0,EXP((input!$G$17-B443)*0.25))</f>
        <v>0</v>
      </c>
      <c r="D443">
        <f t="shared" si="6"/>
        <v>0</v>
      </c>
    </row>
    <row r="444" spans="1:4" x14ac:dyDescent="0.2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IF(B444=0,0,EXP((input!$G$17-B444)*0.25))</f>
        <v>0</v>
      </c>
      <c r="D444">
        <f t="shared" si="6"/>
        <v>0</v>
      </c>
    </row>
    <row r="445" spans="1:4" x14ac:dyDescent="0.2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IF(B445=0,0,EXP((input!$G$17-B445)*0.25))</f>
        <v>0</v>
      </c>
      <c r="D445">
        <f t="shared" si="6"/>
        <v>0</v>
      </c>
    </row>
    <row r="446" spans="1:4" x14ac:dyDescent="0.2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IF(B446=0,0,EXP((input!$G$17-B446)*0.25))</f>
        <v>0</v>
      </c>
      <c r="D446">
        <f t="shared" si="6"/>
        <v>0</v>
      </c>
    </row>
    <row r="447" spans="1:4" x14ac:dyDescent="0.2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IF(B447=0,0,EXP((input!$G$17-B447)*0.25))</f>
        <v>0</v>
      </c>
      <c r="D447">
        <f t="shared" si="6"/>
        <v>0</v>
      </c>
    </row>
    <row r="448" spans="1:4" x14ac:dyDescent="0.2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IF(B448=0,0,EXP((input!$G$17-B448)*0.25))</f>
        <v>0</v>
      </c>
      <c r="D448">
        <f t="shared" si="6"/>
        <v>0</v>
      </c>
    </row>
    <row r="449" spans="1:4" x14ac:dyDescent="0.2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IF(B449=0,0,EXP((input!$G$17-B449)*0.25))</f>
        <v>0</v>
      </c>
      <c r="D449">
        <f t="shared" si="6"/>
        <v>0</v>
      </c>
    </row>
    <row r="450" spans="1:4" x14ac:dyDescent="0.2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IF(B450=0,0,EXP((input!$G$17-B450)*0.25))</f>
        <v>0</v>
      </c>
      <c r="D450">
        <f t="shared" ref="D450:D469" si="7">C450/SUM($C$1:$C$469)</f>
        <v>0</v>
      </c>
    </row>
    <row r="451" spans="1:4" x14ac:dyDescent="0.2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IF(B451=0,0,EXP((input!$G$17-B451)*0.25))</f>
        <v>0</v>
      </c>
      <c r="D451">
        <f t="shared" si="7"/>
        <v>0</v>
      </c>
    </row>
    <row r="452" spans="1:4" x14ac:dyDescent="0.2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IF(B452=0,0,EXP((input!$G$17-B452)*0.25))</f>
        <v>0</v>
      </c>
      <c r="D452">
        <f t="shared" si="7"/>
        <v>0</v>
      </c>
    </row>
    <row r="453" spans="1:4" x14ac:dyDescent="0.2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IF(B453=0,0,EXP((input!$G$17-B453)*0.25))</f>
        <v>0</v>
      </c>
      <c r="D453">
        <f t="shared" si="7"/>
        <v>0</v>
      </c>
    </row>
    <row r="454" spans="1:4" x14ac:dyDescent="0.2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IF(B454=0,0,EXP((input!$G$17-B454)*0.25))</f>
        <v>0</v>
      </c>
      <c r="D454">
        <f t="shared" si="7"/>
        <v>0</v>
      </c>
    </row>
    <row r="455" spans="1:4" x14ac:dyDescent="0.2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IF(B455=0,0,EXP((input!$G$17-B455)*0.25))</f>
        <v>0</v>
      </c>
      <c r="D455">
        <f t="shared" si="7"/>
        <v>0</v>
      </c>
    </row>
    <row r="456" spans="1:4" x14ac:dyDescent="0.2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IF(B456=0,0,EXP((input!$G$17-B456)*0.25))</f>
        <v>0</v>
      </c>
      <c r="D456">
        <f t="shared" si="7"/>
        <v>0</v>
      </c>
    </row>
    <row r="457" spans="1:4" x14ac:dyDescent="0.2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IF(B457=0,0,EXP((input!$G$17-B457)*0.25))</f>
        <v>0</v>
      </c>
      <c r="D457">
        <f t="shared" si="7"/>
        <v>0</v>
      </c>
    </row>
    <row r="458" spans="1:4" x14ac:dyDescent="0.2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IF(B458=0,0,EXP((input!$G$17-B458)*0.25))</f>
        <v>0</v>
      </c>
      <c r="D458">
        <f t="shared" si="7"/>
        <v>0</v>
      </c>
    </row>
    <row r="459" spans="1:4" x14ac:dyDescent="0.2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IF(B459=0,0,EXP((input!$G$17-B459)*0.25))</f>
        <v>0</v>
      </c>
      <c r="D459">
        <f t="shared" si="7"/>
        <v>0</v>
      </c>
    </row>
    <row r="460" spans="1:4" x14ac:dyDescent="0.2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IF(B460=0,0,EXP((input!$G$17-B460)*0.25))</f>
        <v>0</v>
      </c>
      <c r="D460">
        <f t="shared" si="7"/>
        <v>0</v>
      </c>
    </row>
    <row r="461" spans="1:4" x14ac:dyDescent="0.2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IF(B461=0,0,EXP((input!$G$17-B461)*0.25))</f>
        <v>0</v>
      </c>
      <c r="D461">
        <f t="shared" si="7"/>
        <v>0</v>
      </c>
    </row>
    <row r="462" spans="1:4" x14ac:dyDescent="0.2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IF(B462=0,0,EXP((input!$G$17-B462)*0.25))</f>
        <v>0</v>
      </c>
      <c r="D462">
        <f t="shared" si="7"/>
        <v>0</v>
      </c>
    </row>
    <row r="463" spans="1:4" x14ac:dyDescent="0.2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IF(B463=0,0,EXP((input!$G$17-B463)*0.25))</f>
        <v>0</v>
      </c>
      <c r="D463">
        <f t="shared" si="7"/>
        <v>0</v>
      </c>
    </row>
    <row r="464" spans="1:4" x14ac:dyDescent="0.2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IF(B464=0,0,EXP((input!$G$17-B464)*0.25))</f>
        <v>0</v>
      </c>
      <c r="D464">
        <f t="shared" si="7"/>
        <v>0</v>
      </c>
    </row>
    <row r="465" spans="1:4" x14ac:dyDescent="0.2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IF(B465=0,0,EXP((input!$G$17-B465)*0.25))</f>
        <v>0</v>
      </c>
      <c r="D465">
        <f t="shared" si="7"/>
        <v>0</v>
      </c>
    </row>
    <row r="466" spans="1:4" x14ac:dyDescent="0.2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IF(B466=0,0,EXP((input!$G$17-B466)*0.25))</f>
        <v>0</v>
      </c>
      <c r="D466">
        <f t="shared" si="7"/>
        <v>0</v>
      </c>
    </row>
    <row r="467" spans="1:4" x14ac:dyDescent="0.2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IF(B467=0,0,EXP((input!$G$17-B467)*0.25))</f>
        <v>0</v>
      </c>
      <c r="D467">
        <f t="shared" si="7"/>
        <v>0</v>
      </c>
    </row>
    <row r="468" spans="1:4" x14ac:dyDescent="0.2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IF(B468=0,0,EXP((input!$G$17-B468)*0.25))</f>
        <v>0</v>
      </c>
      <c r="D468">
        <f t="shared" si="7"/>
        <v>0</v>
      </c>
    </row>
    <row r="469" spans="1:4" x14ac:dyDescent="0.2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IF(B469=0,0,EXP((input!$G$17-B469)*0.25))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7"/>
  </sheetPr>
  <dimension ref="A1:B469"/>
  <sheetViews>
    <sheetView workbookViewId="0">
      <selection activeCell="B1" sqref="B1:B469"/>
    </sheetView>
  </sheetViews>
  <sheetFormatPr baseColWidth="10" defaultColWidth="8.83203125" defaultRowHeight="16" x14ac:dyDescent="0.2"/>
  <sheetData>
    <row r="1" spans="1:2" x14ac:dyDescent="0.25">
      <c r="A1" t="s">
        <v>133</v>
      </c>
      <c r="B1">
        <f>sectionals_ranked!D1</f>
        <v>0</v>
      </c>
    </row>
    <row r="2" spans="1:2" x14ac:dyDescent="0.25">
      <c r="A2" t="s">
        <v>139</v>
      </c>
      <c r="B2">
        <f>sectionals_ranked!D2</f>
        <v>0</v>
      </c>
    </row>
    <row r="3" spans="1:2" x14ac:dyDescent="0.25">
      <c r="A3" t="s">
        <v>140</v>
      </c>
      <c r="B3">
        <f>sectionals_ranked!D3</f>
        <v>0</v>
      </c>
    </row>
    <row r="4" spans="1:2" x14ac:dyDescent="0.25">
      <c r="A4" s="3" t="s">
        <v>124</v>
      </c>
      <c r="B4">
        <f>sectionals_ranked!D4</f>
        <v>0</v>
      </c>
    </row>
    <row r="5" spans="1:2" x14ac:dyDescent="0.25">
      <c r="A5" s="3" t="s">
        <v>125</v>
      </c>
      <c r="B5">
        <f>sectionals_ranked!D5</f>
        <v>0</v>
      </c>
    </row>
    <row r="6" spans="1:2" x14ac:dyDescent="0.25">
      <c r="A6" s="3" t="s">
        <v>126</v>
      </c>
      <c r="B6">
        <f>sectionals_ranked!D6</f>
        <v>0</v>
      </c>
    </row>
    <row r="7" spans="1:2" x14ac:dyDescent="0.25">
      <c r="A7" s="3" t="s">
        <v>127</v>
      </c>
      <c r="B7">
        <f>sectionals_ranked!D7</f>
        <v>0</v>
      </c>
    </row>
    <row r="8" spans="1:2" x14ac:dyDescent="0.25">
      <c r="A8" s="3" t="s">
        <v>128</v>
      </c>
      <c r="B8">
        <f>sectionals_ranked!D8</f>
        <v>0</v>
      </c>
    </row>
    <row r="9" spans="1:2" x14ac:dyDescent="0.25">
      <c r="A9" s="3" t="s">
        <v>129</v>
      </c>
      <c r="B9">
        <f>sectionals_ranked!D9</f>
        <v>0</v>
      </c>
    </row>
    <row r="10" spans="1:2" x14ac:dyDescent="0.25">
      <c r="A10" s="3" t="s">
        <v>130</v>
      </c>
      <c r="B10">
        <f>sectionals_ranked!D10</f>
        <v>0</v>
      </c>
    </row>
    <row r="11" spans="1:2" x14ac:dyDescent="0.25">
      <c r="A11" s="3" t="s">
        <v>131</v>
      </c>
      <c r="B11">
        <f>sectionals_ranked!D11</f>
        <v>0</v>
      </c>
    </row>
    <row r="12" spans="1:2" x14ac:dyDescent="0.25">
      <c r="A12" s="3" t="s">
        <v>132</v>
      </c>
      <c r="B12">
        <f>sectionals_ranked!D12</f>
        <v>0</v>
      </c>
    </row>
    <row r="13" spans="1:2" x14ac:dyDescent="0.25">
      <c r="A13" s="3" t="s">
        <v>134</v>
      </c>
      <c r="B13">
        <f>sectionals_ranked!D13</f>
        <v>0</v>
      </c>
    </row>
    <row r="14" spans="1:2" x14ac:dyDescent="0.25">
      <c r="A14" s="3" t="s">
        <v>135</v>
      </c>
      <c r="B14">
        <f>sectionals_ranked!D14</f>
        <v>0</v>
      </c>
    </row>
    <row r="15" spans="1:2" x14ac:dyDescent="0.25">
      <c r="A15" s="3" t="s">
        <v>136</v>
      </c>
      <c r="B15">
        <f>sectionals_ranked!D15</f>
        <v>0</v>
      </c>
    </row>
    <row r="16" spans="1:2" x14ac:dyDescent="0.25">
      <c r="A16" s="3" t="s">
        <v>137</v>
      </c>
      <c r="B16">
        <f>sectionals_ranked!D16</f>
        <v>0</v>
      </c>
    </row>
    <row r="17" spans="1:2" x14ac:dyDescent="0.25">
      <c r="A17" s="3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0</v>
      </c>
    </row>
    <row r="19" spans="1:2" x14ac:dyDescent="0.25">
      <c r="A19" t="s">
        <v>142</v>
      </c>
      <c r="B19">
        <f>sectionals_ranked!D19</f>
        <v>0</v>
      </c>
    </row>
    <row r="20" spans="1:2" x14ac:dyDescent="0.25">
      <c r="A20" t="s">
        <v>143</v>
      </c>
      <c r="B20">
        <f>sectionals_ranked!D20</f>
        <v>0</v>
      </c>
    </row>
    <row r="21" spans="1:2" x14ac:dyDescent="0.25">
      <c r="A21" t="s">
        <v>153</v>
      </c>
      <c r="B21">
        <f>sectionals_ranked!D21</f>
        <v>0.31002200989605111</v>
      </c>
    </row>
    <row r="22" spans="1:2" x14ac:dyDescent="0.25">
      <c r="A22" t="s">
        <v>159</v>
      </c>
      <c r="B22">
        <f>sectionals_ranked!D22</f>
        <v>0</v>
      </c>
    </row>
    <row r="23" spans="1:2" x14ac:dyDescent="0.25">
      <c r="A23" t="s">
        <v>160</v>
      </c>
      <c r="B23">
        <f>sectionals_ranked!D23</f>
        <v>0</v>
      </c>
    </row>
    <row r="24" spans="1:2" x14ac:dyDescent="0.25">
      <c r="A24" s="3" t="s">
        <v>144</v>
      </c>
      <c r="B24">
        <f>sectionals_ranked!D24</f>
        <v>0</v>
      </c>
    </row>
    <row r="25" spans="1:2" x14ac:dyDescent="0.25">
      <c r="A25" s="3" t="s">
        <v>145</v>
      </c>
      <c r="B25">
        <f>sectionals_ranked!D25</f>
        <v>0</v>
      </c>
    </row>
    <row r="26" spans="1:2" x14ac:dyDescent="0.25">
      <c r="A26" s="3" t="s">
        <v>146</v>
      </c>
      <c r="B26">
        <f>sectionals_ranked!D26</f>
        <v>0</v>
      </c>
    </row>
    <row r="27" spans="1:2" x14ac:dyDescent="0.25">
      <c r="A27" s="3" t="s">
        <v>147</v>
      </c>
      <c r="B27">
        <f>sectionals_ranked!D27</f>
        <v>0</v>
      </c>
    </row>
    <row r="28" spans="1:2" x14ac:dyDescent="0.25">
      <c r="A28" s="3" t="s">
        <v>148</v>
      </c>
      <c r="B28">
        <f>sectionals_ranked!D28</f>
        <v>0</v>
      </c>
    </row>
    <row r="29" spans="1:2" x14ac:dyDescent="0.25">
      <c r="A29" s="3" t="s">
        <v>149</v>
      </c>
      <c r="B29">
        <f>sectionals_ranked!D29</f>
        <v>0</v>
      </c>
    </row>
    <row r="30" spans="1:2" x14ac:dyDescent="0.25">
      <c r="A30" s="3" t="s">
        <v>150</v>
      </c>
      <c r="B30">
        <f>sectionals_ranked!D30</f>
        <v>0</v>
      </c>
    </row>
    <row r="31" spans="1:2" x14ac:dyDescent="0.25">
      <c r="A31" s="3" t="s">
        <v>151</v>
      </c>
      <c r="B31">
        <f>sectionals_ranked!D31</f>
        <v>0</v>
      </c>
    </row>
    <row r="32" spans="1:2" x14ac:dyDescent="0.25">
      <c r="A32" s="3" t="s">
        <v>152</v>
      </c>
      <c r="B32">
        <f>sectionals_ranked!D32</f>
        <v>0</v>
      </c>
    </row>
    <row r="33" spans="1:2" x14ac:dyDescent="0.25">
      <c r="A33" s="3" t="s">
        <v>154</v>
      </c>
      <c r="B33">
        <f>sectionals_ranked!D33</f>
        <v>0</v>
      </c>
    </row>
    <row r="34" spans="1:2" x14ac:dyDescent="0.25">
      <c r="A34" s="3" t="s">
        <v>155</v>
      </c>
      <c r="B34">
        <f>sectionals_ranked!D34</f>
        <v>0</v>
      </c>
    </row>
    <row r="35" spans="1:2" x14ac:dyDescent="0.25">
      <c r="A35" s="3" t="s">
        <v>156</v>
      </c>
      <c r="B35">
        <f>sectionals_ranked!D35</f>
        <v>0</v>
      </c>
    </row>
    <row r="36" spans="1:2" x14ac:dyDescent="0.25">
      <c r="A36" s="3" t="s">
        <v>157</v>
      </c>
      <c r="B36">
        <f>sectionals_ranked!D36</f>
        <v>0</v>
      </c>
    </row>
    <row r="37" spans="1:2" x14ac:dyDescent="0.25">
      <c r="A37" s="3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">
      <c r="A42" t="s">
        <v>165</v>
      </c>
      <c r="B42">
        <f>sectionals_ranked!D42</f>
        <v>0</v>
      </c>
    </row>
    <row r="43" spans="1:2" x14ac:dyDescent="0.2">
      <c r="A43" t="s">
        <v>166</v>
      </c>
      <c r="B43">
        <f>sectionals_ranked!D43</f>
        <v>0</v>
      </c>
    </row>
    <row r="44" spans="1:2" x14ac:dyDescent="0.2">
      <c r="A44" t="s">
        <v>167</v>
      </c>
      <c r="B44">
        <f>sectionals_ranked!D44</f>
        <v>0</v>
      </c>
    </row>
    <row r="45" spans="1:2" x14ac:dyDescent="0.2">
      <c r="A45" t="s">
        <v>168</v>
      </c>
      <c r="B45">
        <f>sectionals_ranked!D45</f>
        <v>0</v>
      </c>
    </row>
    <row r="46" spans="1:2" x14ac:dyDescent="0.2">
      <c r="A46" t="s">
        <v>169</v>
      </c>
      <c r="B46">
        <f>sectionals_ranked!D46</f>
        <v>0</v>
      </c>
    </row>
    <row r="47" spans="1:2" x14ac:dyDescent="0.2">
      <c r="A47" t="s">
        <v>170</v>
      </c>
      <c r="B47">
        <f>sectionals_ranked!D47</f>
        <v>0</v>
      </c>
    </row>
    <row r="48" spans="1:2" x14ac:dyDescent="0.2">
      <c r="A48" t="s">
        <v>171</v>
      </c>
      <c r="B48">
        <f>sectionals_ranked!D48</f>
        <v>0</v>
      </c>
    </row>
    <row r="49" spans="1:2" x14ac:dyDescent="0.2">
      <c r="A49" t="s">
        <v>172</v>
      </c>
      <c r="B49">
        <f>sectionals_ranked!D49</f>
        <v>0</v>
      </c>
    </row>
    <row r="50" spans="1:2" x14ac:dyDescent="0.2">
      <c r="A50" t="s">
        <v>173</v>
      </c>
      <c r="B50">
        <f>sectionals_ranked!D50</f>
        <v>0</v>
      </c>
    </row>
    <row r="51" spans="1:2" x14ac:dyDescent="0.2">
      <c r="A51" t="s">
        <v>174</v>
      </c>
      <c r="B51">
        <f>sectionals_ranked!D51</f>
        <v>0</v>
      </c>
    </row>
    <row r="52" spans="1:2" x14ac:dyDescent="0.2">
      <c r="A52" t="s">
        <v>175</v>
      </c>
      <c r="B52">
        <f>sectionals_ranked!D52</f>
        <v>0</v>
      </c>
    </row>
    <row r="53" spans="1:2" x14ac:dyDescent="0.2">
      <c r="A53" t="s">
        <v>176</v>
      </c>
      <c r="B53">
        <f>sectionals_ranked!D53</f>
        <v>0</v>
      </c>
    </row>
    <row r="54" spans="1:2" x14ac:dyDescent="0.2">
      <c r="A54" t="s">
        <v>177</v>
      </c>
      <c r="B54">
        <f>sectionals_ranked!D54</f>
        <v>0</v>
      </c>
    </row>
    <row r="55" spans="1:2" x14ac:dyDescent="0.2">
      <c r="A55" t="s">
        <v>178</v>
      </c>
      <c r="B55">
        <f>sectionals_ranked!D55</f>
        <v>0</v>
      </c>
    </row>
    <row r="56" spans="1:2" x14ac:dyDescent="0.2">
      <c r="A56" t="s">
        <v>179</v>
      </c>
      <c r="B56">
        <f>sectionals_ranked!D56</f>
        <v>0</v>
      </c>
    </row>
    <row r="57" spans="1:2" x14ac:dyDescent="0.2">
      <c r="A57" t="s">
        <v>180</v>
      </c>
      <c r="B57">
        <f>sectionals_ranked!D57</f>
        <v>0</v>
      </c>
    </row>
    <row r="58" spans="1:2" x14ac:dyDescent="0.2">
      <c r="A58" t="s">
        <v>181</v>
      </c>
      <c r="B58">
        <f>sectionals_ranked!D58</f>
        <v>0</v>
      </c>
    </row>
    <row r="59" spans="1:2" x14ac:dyDescent="0.2">
      <c r="A59" t="s">
        <v>182</v>
      </c>
      <c r="B59">
        <f>sectionals_ranked!D59</f>
        <v>0</v>
      </c>
    </row>
    <row r="60" spans="1:2" x14ac:dyDescent="0.2">
      <c r="A60" t="s">
        <v>183</v>
      </c>
      <c r="B60">
        <f>sectionals_ranked!D60</f>
        <v>0</v>
      </c>
    </row>
    <row r="61" spans="1:2" x14ac:dyDescent="0.2">
      <c r="A61" t="s">
        <v>184</v>
      </c>
      <c r="B61">
        <f>sectionals_ranked!D61</f>
        <v>0</v>
      </c>
    </row>
    <row r="62" spans="1:2" x14ac:dyDescent="0.2">
      <c r="A62" t="s">
        <v>185</v>
      </c>
      <c r="B62">
        <f>sectionals_ranked!D62</f>
        <v>0</v>
      </c>
    </row>
    <row r="63" spans="1:2" x14ac:dyDescent="0.2">
      <c r="A63" t="s">
        <v>186</v>
      </c>
      <c r="B63">
        <f>sectionals_ranked!D63</f>
        <v>0</v>
      </c>
    </row>
    <row r="64" spans="1:2" x14ac:dyDescent="0.2">
      <c r="A64" t="s">
        <v>187</v>
      </c>
      <c r="B64">
        <f>sectionals_ranked!D64</f>
        <v>0</v>
      </c>
    </row>
    <row r="65" spans="1:2" x14ac:dyDescent="0.2">
      <c r="A65" t="s">
        <v>187</v>
      </c>
      <c r="B65">
        <f>sectionals_ranked!D65</f>
        <v>0</v>
      </c>
    </row>
    <row r="66" spans="1:2" x14ac:dyDescent="0.2">
      <c r="A66" t="s">
        <v>188</v>
      </c>
      <c r="B66">
        <f>sectionals_ranked!D66</f>
        <v>0</v>
      </c>
    </row>
    <row r="67" spans="1:2" x14ac:dyDescent="0.2">
      <c r="A67" t="s">
        <v>188</v>
      </c>
      <c r="B67">
        <f>sectionals_ranked!D67</f>
        <v>0</v>
      </c>
    </row>
    <row r="68" spans="1:2" x14ac:dyDescent="0.2">
      <c r="A68" t="s">
        <v>189</v>
      </c>
      <c r="B68">
        <f>sectionals_ranked!D68</f>
        <v>0</v>
      </c>
    </row>
    <row r="69" spans="1:2" x14ac:dyDescent="0.2">
      <c r="A69" t="s">
        <v>189</v>
      </c>
      <c r="B69">
        <f>sectionals_ranked!D69</f>
        <v>0</v>
      </c>
    </row>
    <row r="70" spans="1:2" x14ac:dyDescent="0.2">
      <c r="A70" t="s">
        <v>190</v>
      </c>
      <c r="B70">
        <f>sectionals_ranked!D70</f>
        <v>0</v>
      </c>
    </row>
    <row r="71" spans="1:2" x14ac:dyDescent="0.2">
      <c r="A71" t="s">
        <v>191</v>
      </c>
      <c r="B71">
        <f>sectionals_ranked!D71</f>
        <v>0</v>
      </c>
    </row>
    <row r="72" spans="1:2" x14ac:dyDescent="0.2">
      <c r="A72" t="s">
        <v>192</v>
      </c>
      <c r="B72">
        <f>sectionals_ranked!D72</f>
        <v>0</v>
      </c>
    </row>
    <row r="73" spans="1:2" x14ac:dyDescent="0.2">
      <c r="A73" t="s">
        <v>193</v>
      </c>
      <c r="B73">
        <f>sectionals_ranked!D73</f>
        <v>0</v>
      </c>
    </row>
    <row r="74" spans="1:2" x14ac:dyDescent="0.2">
      <c r="A74" t="s">
        <v>194</v>
      </c>
      <c r="B74">
        <f>sectionals_ranked!D74</f>
        <v>0</v>
      </c>
    </row>
    <row r="75" spans="1:2" x14ac:dyDescent="0.2">
      <c r="A75" t="s">
        <v>195</v>
      </c>
      <c r="B75">
        <f>sectionals_ranked!D75</f>
        <v>0</v>
      </c>
    </row>
    <row r="76" spans="1:2" x14ac:dyDescent="0.2">
      <c r="A76" t="s">
        <v>196</v>
      </c>
      <c r="B76">
        <f>sectionals_ranked!D76</f>
        <v>0</v>
      </c>
    </row>
    <row r="77" spans="1:2" x14ac:dyDescent="0.2">
      <c r="A77" t="s">
        <v>197</v>
      </c>
      <c r="B77">
        <f>sectionals_ranked!D77</f>
        <v>0</v>
      </c>
    </row>
    <row r="78" spans="1:2" x14ac:dyDescent="0.2">
      <c r="A78" t="s">
        <v>198</v>
      </c>
      <c r="B78">
        <f>sectionals_ranked!D78</f>
        <v>0</v>
      </c>
    </row>
    <row r="79" spans="1:2" x14ac:dyDescent="0.2">
      <c r="A79" t="s">
        <v>199</v>
      </c>
      <c r="B79">
        <f>sectionals_ranked!D79</f>
        <v>0</v>
      </c>
    </row>
    <row r="80" spans="1:2" x14ac:dyDescent="0.2">
      <c r="A80" t="s">
        <v>200</v>
      </c>
      <c r="B80">
        <f>sectionals_ranked!D80</f>
        <v>0</v>
      </c>
    </row>
    <row r="81" spans="1:2" x14ac:dyDescent="0.2">
      <c r="A81" t="s">
        <v>201</v>
      </c>
      <c r="B81">
        <f>sectionals_ranked!D81</f>
        <v>0</v>
      </c>
    </row>
    <row r="82" spans="1:2" x14ac:dyDescent="0.2">
      <c r="A82" t="s">
        <v>202</v>
      </c>
      <c r="B82">
        <f>sectionals_ranked!D82</f>
        <v>0</v>
      </c>
    </row>
    <row r="83" spans="1:2" x14ac:dyDescent="0.2">
      <c r="A83" t="s">
        <v>203</v>
      </c>
      <c r="B83">
        <f>sectionals_ranked!D83</f>
        <v>0</v>
      </c>
    </row>
    <row r="84" spans="1:2" x14ac:dyDescent="0.2">
      <c r="A84" t="s">
        <v>204</v>
      </c>
      <c r="B84">
        <f>sectionals_ranked!D84</f>
        <v>0</v>
      </c>
    </row>
    <row r="85" spans="1:2" x14ac:dyDescent="0.2">
      <c r="A85" t="s">
        <v>205</v>
      </c>
      <c r="B85">
        <f>sectionals_ranked!D85</f>
        <v>0</v>
      </c>
    </row>
    <row r="86" spans="1:2" x14ac:dyDescent="0.2">
      <c r="A86" t="s">
        <v>206</v>
      </c>
      <c r="B86">
        <f>sectionals_ranked!D86</f>
        <v>0</v>
      </c>
    </row>
    <row r="87" spans="1:2" x14ac:dyDescent="0.2">
      <c r="A87" t="s">
        <v>207</v>
      </c>
      <c r="B87">
        <f>sectionals_ranked!D87</f>
        <v>0</v>
      </c>
    </row>
    <row r="88" spans="1:2" x14ac:dyDescent="0.2">
      <c r="A88" t="s">
        <v>208</v>
      </c>
      <c r="B88">
        <f>sectionals_ranked!D88</f>
        <v>0</v>
      </c>
    </row>
    <row r="89" spans="1:2" x14ac:dyDescent="0.2">
      <c r="A89" t="s">
        <v>209</v>
      </c>
      <c r="B89">
        <f>sectionals_ranked!D89</f>
        <v>0</v>
      </c>
    </row>
    <row r="90" spans="1:2" x14ac:dyDescent="0.2">
      <c r="A90" t="s">
        <v>210</v>
      </c>
      <c r="B90">
        <f>sectionals_ranked!D90</f>
        <v>0</v>
      </c>
    </row>
    <row r="91" spans="1:2" x14ac:dyDescent="0.2">
      <c r="A91" t="s">
        <v>20</v>
      </c>
      <c r="B91">
        <f>sectionals_ranked!D91</f>
        <v>0</v>
      </c>
    </row>
    <row r="92" spans="1:2" x14ac:dyDescent="0.2">
      <c r="A92" t="s">
        <v>21</v>
      </c>
      <c r="B92">
        <f>sectionals_ranked!D92</f>
        <v>0</v>
      </c>
    </row>
    <row r="93" spans="1:2" x14ac:dyDescent="0.2">
      <c r="A93" t="s">
        <v>211</v>
      </c>
      <c r="B93">
        <f>sectionals_ranked!D93</f>
        <v>0</v>
      </c>
    </row>
    <row r="94" spans="1:2" x14ac:dyDescent="0.2">
      <c r="A94" t="s">
        <v>212</v>
      </c>
      <c r="B94">
        <f>sectionals_ranked!D94</f>
        <v>0.24144538407641544</v>
      </c>
    </row>
    <row r="95" spans="1:2" x14ac:dyDescent="0.2">
      <c r="A95" t="s">
        <v>213</v>
      </c>
      <c r="B95">
        <f>sectionals_ranked!D95</f>
        <v>0</v>
      </c>
    </row>
    <row r="96" spans="1:2" x14ac:dyDescent="0.2">
      <c r="A96" t="s">
        <v>214</v>
      </c>
      <c r="B96">
        <f>sectionals_ranked!D96</f>
        <v>0</v>
      </c>
    </row>
    <row r="97" spans="1:2" x14ac:dyDescent="0.2">
      <c r="A97" t="s">
        <v>215</v>
      </c>
      <c r="B97">
        <f>sectionals_ranked!D97</f>
        <v>0</v>
      </c>
    </row>
    <row r="98" spans="1:2" x14ac:dyDescent="0.2">
      <c r="A98" t="s">
        <v>216</v>
      </c>
      <c r="B98">
        <f>sectionals_ranked!D98</f>
        <v>0</v>
      </c>
    </row>
    <row r="99" spans="1:2" x14ac:dyDescent="0.2">
      <c r="A99" t="s">
        <v>217</v>
      </c>
      <c r="B99">
        <f>sectionals_ranked!D99</f>
        <v>0</v>
      </c>
    </row>
    <row r="100" spans="1:2" x14ac:dyDescent="0.2">
      <c r="A100" t="s">
        <v>218</v>
      </c>
      <c r="B100">
        <f>sectionals_ranked!D100</f>
        <v>0</v>
      </c>
    </row>
    <row r="101" spans="1:2" x14ac:dyDescent="0.2">
      <c r="A101" t="s">
        <v>219</v>
      </c>
      <c r="B101">
        <f>sectionals_ranked!D101</f>
        <v>0</v>
      </c>
    </row>
    <row r="102" spans="1:2" x14ac:dyDescent="0.2">
      <c r="A102" t="s">
        <v>220</v>
      </c>
      <c r="B102">
        <f>sectionals_ranked!D102</f>
        <v>0</v>
      </c>
    </row>
    <row r="103" spans="1:2" x14ac:dyDescent="0.2">
      <c r="A103" t="s">
        <v>221</v>
      </c>
      <c r="B103">
        <f>sectionals_ranked!D103</f>
        <v>0</v>
      </c>
    </row>
    <row r="104" spans="1:2" x14ac:dyDescent="0.2">
      <c r="A104" t="s">
        <v>229</v>
      </c>
      <c r="B104">
        <f>sectionals_ranked!D104</f>
        <v>0.18803785418768845</v>
      </c>
    </row>
    <row r="105" spans="1:2" x14ac:dyDescent="0.2">
      <c r="A105" t="s">
        <v>237</v>
      </c>
      <c r="B105">
        <f>sectionals_ranked!D105</f>
        <v>0</v>
      </c>
    </row>
    <row r="106" spans="1:2" x14ac:dyDescent="0.2">
      <c r="A106" t="s">
        <v>242</v>
      </c>
      <c r="B106">
        <f>sectionals_ranked!D106</f>
        <v>0</v>
      </c>
    </row>
    <row r="107" spans="1:2" x14ac:dyDescent="0.2">
      <c r="A107" s="3" t="s">
        <v>222</v>
      </c>
      <c r="B107">
        <f>sectionals_ranked!D107</f>
        <v>0</v>
      </c>
    </row>
    <row r="108" spans="1:2" x14ac:dyDescent="0.2">
      <c r="A108" s="3" t="s">
        <v>223</v>
      </c>
      <c r="B108">
        <f>sectionals_ranked!D108</f>
        <v>0</v>
      </c>
    </row>
    <row r="109" spans="1:2" x14ac:dyDescent="0.2">
      <c r="A109" s="3" t="s">
        <v>224</v>
      </c>
      <c r="B109">
        <f>sectionals_ranked!D109</f>
        <v>0</v>
      </c>
    </row>
    <row r="110" spans="1:2" x14ac:dyDescent="0.2">
      <c r="A110" s="3" t="s">
        <v>225</v>
      </c>
      <c r="B110">
        <f>sectionals_ranked!D110</f>
        <v>0</v>
      </c>
    </row>
    <row r="111" spans="1:2" x14ac:dyDescent="0.2">
      <c r="A111" s="3" t="s">
        <v>226</v>
      </c>
      <c r="B111">
        <f>sectionals_ranked!D111</f>
        <v>0</v>
      </c>
    </row>
    <row r="112" spans="1:2" x14ac:dyDescent="0.2">
      <c r="A112" s="3" t="s">
        <v>227</v>
      </c>
      <c r="B112">
        <f>sectionals_ranked!D112</f>
        <v>0</v>
      </c>
    </row>
    <row r="113" spans="1:2" x14ac:dyDescent="0.2">
      <c r="A113" s="3" t="s">
        <v>228</v>
      </c>
      <c r="B113">
        <f>sectionals_ranked!D113</f>
        <v>0</v>
      </c>
    </row>
    <row r="114" spans="1:2" x14ac:dyDescent="0.2">
      <c r="A114" s="3" t="s">
        <v>230</v>
      </c>
      <c r="B114">
        <f>sectionals_ranked!D114</f>
        <v>0</v>
      </c>
    </row>
    <row r="115" spans="1:2" x14ac:dyDescent="0.2">
      <c r="A115" s="3" t="s">
        <v>231</v>
      </c>
      <c r="B115">
        <f>sectionals_ranked!D115</f>
        <v>0</v>
      </c>
    </row>
    <row r="116" spans="1:2" x14ac:dyDescent="0.2">
      <c r="A116" s="3" t="s">
        <v>232</v>
      </c>
      <c r="B116">
        <f>sectionals_ranked!D116</f>
        <v>0</v>
      </c>
    </row>
    <row r="117" spans="1:2" x14ac:dyDescent="0.2">
      <c r="A117" s="3" t="s">
        <v>233</v>
      </c>
      <c r="B117">
        <f>sectionals_ranked!D117</f>
        <v>0</v>
      </c>
    </row>
    <row r="118" spans="1:2" x14ac:dyDescent="0.2">
      <c r="A118" s="3" t="s">
        <v>234</v>
      </c>
      <c r="B118">
        <f>sectionals_ranked!D118</f>
        <v>0</v>
      </c>
    </row>
    <row r="119" spans="1:2" x14ac:dyDescent="0.2">
      <c r="A119" s="3" t="s">
        <v>235</v>
      </c>
      <c r="B119">
        <f>sectionals_ranked!D119</f>
        <v>0</v>
      </c>
    </row>
    <row r="120" spans="1:2" x14ac:dyDescent="0.2">
      <c r="A120" s="3" t="s">
        <v>236</v>
      </c>
      <c r="B120">
        <f>sectionals_ranked!D120</f>
        <v>0</v>
      </c>
    </row>
    <row r="121" spans="1:2" x14ac:dyDescent="0.2">
      <c r="A121" s="3" t="s">
        <v>238</v>
      </c>
      <c r="B121">
        <f>sectionals_ranked!D121</f>
        <v>0</v>
      </c>
    </row>
    <row r="122" spans="1:2" x14ac:dyDescent="0.2">
      <c r="A122" s="3" t="s">
        <v>239</v>
      </c>
      <c r="B122">
        <f>sectionals_ranked!D122</f>
        <v>0</v>
      </c>
    </row>
    <row r="123" spans="1:2" x14ac:dyDescent="0.2">
      <c r="A123" s="3" t="s">
        <v>240</v>
      </c>
      <c r="B123">
        <f>sectionals_ranked!D123</f>
        <v>0</v>
      </c>
    </row>
    <row r="124" spans="1:2" x14ac:dyDescent="0.2">
      <c r="A124" s="3" t="s">
        <v>241</v>
      </c>
      <c r="B124">
        <f>sectionals_ranked!D124</f>
        <v>0</v>
      </c>
    </row>
    <row r="125" spans="1:2" x14ac:dyDescent="0.2">
      <c r="A125" t="s">
        <v>243</v>
      </c>
      <c r="B125">
        <f>sectionals_ranked!D125</f>
        <v>0</v>
      </c>
    </row>
    <row r="126" spans="1:2" x14ac:dyDescent="0.2">
      <c r="A126" t="s">
        <v>244</v>
      </c>
      <c r="B126">
        <f>sectionals_ranked!D126</f>
        <v>0</v>
      </c>
    </row>
    <row r="127" spans="1:2" x14ac:dyDescent="0.2">
      <c r="A127" t="s">
        <v>245</v>
      </c>
      <c r="B127">
        <f>sectionals_ranked!D127</f>
        <v>0</v>
      </c>
    </row>
    <row r="128" spans="1:2" x14ac:dyDescent="0.2">
      <c r="A128" t="s">
        <v>246</v>
      </c>
      <c r="B128">
        <f>sectionals_ranked!D128</f>
        <v>0</v>
      </c>
    </row>
    <row r="129" spans="1:2" x14ac:dyDescent="0.2">
      <c r="A129" t="s">
        <v>247</v>
      </c>
      <c r="B129">
        <f>sectionals_ranked!D129</f>
        <v>0</v>
      </c>
    </row>
    <row r="130" spans="1:2" x14ac:dyDescent="0.2">
      <c r="A130" t="s">
        <v>248</v>
      </c>
      <c r="B130">
        <f>sectionals_ranked!D130</f>
        <v>0</v>
      </c>
    </row>
    <row r="131" spans="1:2" x14ac:dyDescent="0.2">
      <c r="A131" t="s">
        <v>249</v>
      </c>
      <c r="B131">
        <f>sectionals_ranked!D131</f>
        <v>0</v>
      </c>
    </row>
    <row r="132" spans="1:2" x14ac:dyDescent="0.2">
      <c r="A132" t="s">
        <v>250</v>
      </c>
      <c r="B132">
        <f>sectionals_ranked!D132</f>
        <v>0</v>
      </c>
    </row>
    <row r="133" spans="1:2" x14ac:dyDescent="0.2">
      <c r="A133" t="s">
        <v>251</v>
      </c>
      <c r="B133">
        <f>sectionals_ranked!D133</f>
        <v>0</v>
      </c>
    </row>
    <row r="134" spans="1:2" x14ac:dyDescent="0.2">
      <c r="A134" t="s">
        <v>252</v>
      </c>
      <c r="B134">
        <f>sectionals_ranked!D134</f>
        <v>0</v>
      </c>
    </row>
    <row r="135" spans="1:2" x14ac:dyDescent="0.2">
      <c r="A135" t="s">
        <v>260</v>
      </c>
      <c r="B135">
        <f>sectionals_ranked!D135</f>
        <v>0.14644402808843843</v>
      </c>
    </row>
    <row r="136" spans="1:2" x14ac:dyDescent="0.2">
      <c r="A136" t="s">
        <v>268</v>
      </c>
      <c r="B136">
        <f>sectionals_ranked!D136</f>
        <v>0</v>
      </c>
    </row>
    <row r="137" spans="1:2" x14ac:dyDescent="0.2">
      <c r="A137" t="s">
        <v>273</v>
      </c>
      <c r="B137">
        <f>sectionals_ranked!D137</f>
        <v>0</v>
      </c>
    </row>
    <row r="138" spans="1:2" x14ac:dyDescent="0.2">
      <c r="A138" s="3" t="s">
        <v>253</v>
      </c>
      <c r="B138">
        <f>sectionals_ranked!D138</f>
        <v>0</v>
      </c>
    </row>
    <row r="139" spans="1:2" x14ac:dyDescent="0.2">
      <c r="A139" s="3" t="s">
        <v>254</v>
      </c>
      <c r="B139">
        <f>sectionals_ranked!D139</f>
        <v>0</v>
      </c>
    </row>
    <row r="140" spans="1:2" x14ac:dyDescent="0.2">
      <c r="A140" s="3" t="s">
        <v>255</v>
      </c>
      <c r="B140">
        <f>sectionals_ranked!D140</f>
        <v>0</v>
      </c>
    </row>
    <row r="141" spans="1:2" x14ac:dyDescent="0.2">
      <c r="A141" s="3" t="s">
        <v>256</v>
      </c>
      <c r="B141">
        <f>sectionals_ranked!D141</f>
        <v>0</v>
      </c>
    </row>
    <row r="142" spans="1:2" x14ac:dyDescent="0.2">
      <c r="A142" s="3" t="s">
        <v>257</v>
      </c>
      <c r="B142">
        <f>sectionals_ranked!D142</f>
        <v>0</v>
      </c>
    </row>
    <row r="143" spans="1:2" x14ac:dyDescent="0.2">
      <c r="A143" s="3" t="s">
        <v>258</v>
      </c>
      <c r="B143">
        <f>sectionals_ranked!D143</f>
        <v>0</v>
      </c>
    </row>
    <row r="144" spans="1:2" x14ac:dyDescent="0.2">
      <c r="A144" s="3" t="s">
        <v>259</v>
      </c>
      <c r="B144">
        <f>sectionals_ranked!D144</f>
        <v>0</v>
      </c>
    </row>
    <row r="145" spans="1:2" x14ac:dyDescent="0.2">
      <c r="A145" s="3" t="s">
        <v>261</v>
      </c>
      <c r="B145">
        <f>sectionals_ranked!D145</f>
        <v>0</v>
      </c>
    </row>
    <row r="146" spans="1:2" x14ac:dyDescent="0.2">
      <c r="A146" s="3" t="s">
        <v>262</v>
      </c>
      <c r="B146">
        <f>sectionals_ranked!D146</f>
        <v>0</v>
      </c>
    </row>
    <row r="147" spans="1:2" x14ac:dyDescent="0.2">
      <c r="A147" s="3" t="s">
        <v>263</v>
      </c>
      <c r="B147">
        <f>sectionals_ranked!D147</f>
        <v>0</v>
      </c>
    </row>
    <row r="148" spans="1:2" x14ac:dyDescent="0.2">
      <c r="A148" s="3" t="s">
        <v>264</v>
      </c>
      <c r="B148">
        <f>sectionals_ranked!D148</f>
        <v>0</v>
      </c>
    </row>
    <row r="149" spans="1:2" x14ac:dyDescent="0.2">
      <c r="A149" s="3" t="s">
        <v>265</v>
      </c>
      <c r="B149">
        <f>sectionals_ranked!D149</f>
        <v>0</v>
      </c>
    </row>
    <row r="150" spans="1:2" x14ac:dyDescent="0.2">
      <c r="A150" s="3" t="s">
        <v>266</v>
      </c>
      <c r="B150">
        <f>sectionals_ranked!D150</f>
        <v>0</v>
      </c>
    </row>
    <row r="151" spans="1:2" x14ac:dyDescent="0.2">
      <c r="A151" s="3" t="s">
        <v>267</v>
      </c>
      <c r="B151">
        <f>sectionals_ranked!D151</f>
        <v>0</v>
      </c>
    </row>
    <row r="152" spans="1:2" x14ac:dyDescent="0.2">
      <c r="A152" s="3" t="s">
        <v>269</v>
      </c>
      <c r="B152">
        <f>sectionals_ranked!D152</f>
        <v>0</v>
      </c>
    </row>
    <row r="153" spans="1:2" x14ac:dyDescent="0.2">
      <c r="A153" s="3" t="s">
        <v>270</v>
      </c>
      <c r="B153">
        <f>sectionals_ranked!D153</f>
        <v>0</v>
      </c>
    </row>
    <row r="154" spans="1:2" x14ac:dyDescent="0.2">
      <c r="A154" s="3" t="s">
        <v>271</v>
      </c>
      <c r="B154">
        <f>sectionals_ranked!D154</f>
        <v>0</v>
      </c>
    </row>
    <row r="155" spans="1:2" x14ac:dyDescent="0.2">
      <c r="A155" s="3" t="s">
        <v>272</v>
      </c>
      <c r="B155">
        <f>sectionals_ranked!D155</f>
        <v>0</v>
      </c>
    </row>
    <row r="156" spans="1:2" x14ac:dyDescent="0.2">
      <c r="A156" t="s">
        <v>281</v>
      </c>
      <c r="B156">
        <f>sectionals_ranked!D156</f>
        <v>0</v>
      </c>
    </row>
    <row r="157" spans="1:2" x14ac:dyDescent="0.2">
      <c r="A157" t="s">
        <v>288</v>
      </c>
      <c r="B157">
        <f>sectionals_ranked!D157</f>
        <v>0</v>
      </c>
    </row>
    <row r="158" spans="1:2" x14ac:dyDescent="0.2">
      <c r="A158" s="3" t="s">
        <v>274</v>
      </c>
      <c r="B158">
        <f>sectionals_ranked!D158</f>
        <v>0</v>
      </c>
    </row>
    <row r="159" spans="1:2" x14ac:dyDescent="0.2">
      <c r="A159" s="3" t="s">
        <v>275</v>
      </c>
      <c r="B159">
        <f>sectionals_ranked!D159</f>
        <v>0</v>
      </c>
    </row>
    <row r="160" spans="1:2" x14ac:dyDescent="0.2">
      <c r="A160" s="3" t="s">
        <v>276</v>
      </c>
      <c r="B160">
        <f>sectionals_ranked!D160</f>
        <v>0</v>
      </c>
    </row>
    <row r="161" spans="1:2" x14ac:dyDescent="0.2">
      <c r="A161" s="3" t="s">
        <v>277</v>
      </c>
      <c r="B161">
        <f>sectionals_ranked!D161</f>
        <v>0</v>
      </c>
    </row>
    <row r="162" spans="1:2" x14ac:dyDescent="0.2">
      <c r="A162" s="3" t="s">
        <v>278</v>
      </c>
      <c r="B162">
        <f>sectionals_ranked!D162</f>
        <v>0</v>
      </c>
    </row>
    <row r="163" spans="1:2" x14ac:dyDescent="0.2">
      <c r="A163" s="3" t="s">
        <v>279</v>
      </c>
      <c r="B163">
        <f>sectionals_ranked!D163</f>
        <v>0</v>
      </c>
    </row>
    <row r="164" spans="1:2" x14ac:dyDescent="0.2">
      <c r="A164" s="3" t="s">
        <v>280</v>
      </c>
      <c r="B164">
        <f>sectionals_ranked!D164</f>
        <v>0</v>
      </c>
    </row>
    <row r="165" spans="1:2" x14ac:dyDescent="0.2">
      <c r="A165" s="3" t="s">
        <v>282</v>
      </c>
      <c r="B165">
        <f>sectionals_ranked!D165</f>
        <v>0</v>
      </c>
    </row>
    <row r="166" spans="1:2" x14ac:dyDescent="0.2">
      <c r="A166" s="3" t="s">
        <v>283</v>
      </c>
      <c r="B166">
        <f>sectionals_ranked!D166</f>
        <v>0</v>
      </c>
    </row>
    <row r="167" spans="1:2" x14ac:dyDescent="0.2">
      <c r="A167" s="3" t="s">
        <v>284</v>
      </c>
      <c r="B167">
        <f>sectionals_ranked!D167</f>
        <v>0</v>
      </c>
    </row>
    <row r="168" spans="1:2" x14ac:dyDescent="0.2">
      <c r="A168" s="3" t="s">
        <v>285</v>
      </c>
      <c r="B168">
        <f>sectionals_ranked!D168</f>
        <v>0</v>
      </c>
    </row>
    <row r="169" spans="1:2" x14ac:dyDescent="0.2">
      <c r="A169" s="3" t="s">
        <v>286</v>
      </c>
      <c r="B169">
        <f>sectionals_ranked!D169</f>
        <v>0</v>
      </c>
    </row>
    <row r="170" spans="1:2" x14ac:dyDescent="0.2">
      <c r="A170" s="3" t="s">
        <v>287</v>
      </c>
      <c r="B170">
        <f>sectionals_ranked!D170</f>
        <v>0</v>
      </c>
    </row>
    <row r="171" spans="1:2" x14ac:dyDescent="0.2">
      <c r="A171" t="s">
        <v>297</v>
      </c>
      <c r="B171">
        <f>sectionals_ranked!D171</f>
        <v>0</v>
      </c>
    </row>
    <row r="172" spans="1:2" x14ac:dyDescent="0.2">
      <c r="A172" t="s">
        <v>303</v>
      </c>
      <c r="B172">
        <f>sectionals_ranked!D172</f>
        <v>0</v>
      </c>
    </row>
    <row r="173" spans="1:2" x14ac:dyDescent="0.2">
      <c r="A173" t="s">
        <v>289</v>
      </c>
      <c r="B173">
        <f>sectionals_ranked!D173</f>
        <v>0</v>
      </c>
    </row>
    <row r="174" spans="1:2" x14ac:dyDescent="0.2">
      <c r="A174" t="s">
        <v>290</v>
      </c>
      <c r="B174">
        <f>sectionals_ranked!D174</f>
        <v>0</v>
      </c>
    </row>
    <row r="175" spans="1:2" x14ac:dyDescent="0.2">
      <c r="A175" t="s">
        <v>291</v>
      </c>
      <c r="B175">
        <f>sectionals_ranked!D175</f>
        <v>0</v>
      </c>
    </row>
    <row r="176" spans="1:2" x14ac:dyDescent="0.2">
      <c r="A176" t="s">
        <v>292</v>
      </c>
      <c r="B176">
        <f>sectionals_ranked!D176</f>
        <v>0</v>
      </c>
    </row>
    <row r="177" spans="1:2" x14ac:dyDescent="0.2">
      <c r="A177" t="s">
        <v>293</v>
      </c>
      <c r="B177">
        <f>sectionals_ranked!D177</f>
        <v>0</v>
      </c>
    </row>
    <row r="178" spans="1:2" x14ac:dyDescent="0.2">
      <c r="A178" t="s">
        <v>294</v>
      </c>
      <c r="B178">
        <f>sectionals_ranked!D178</f>
        <v>0</v>
      </c>
    </row>
    <row r="179" spans="1:2" x14ac:dyDescent="0.2">
      <c r="A179" t="s">
        <v>295</v>
      </c>
      <c r="B179">
        <f>sectionals_ranked!D179</f>
        <v>0</v>
      </c>
    </row>
    <row r="180" spans="1:2" x14ac:dyDescent="0.2">
      <c r="A180" t="s">
        <v>296</v>
      </c>
      <c r="B180">
        <f>sectionals_ranked!D180</f>
        <v>0</v>
      </c>
    </row>
    <row r="181" spans="1:2" x14ac:dyDescent="0.2">
      <c r="A181" t="s">
        <v>298</v>
      </c>
      <c r="B181">
        <f>sectionals_ranked!D181</f>
        <v>0</v>
      </c>
    </row>
    <row r="182" spans="1:2" x14ac:dyDescent="0.2">
      <c r="A182" t="s">
        <v>299</v>
      </c>
      <c r="B182">
        <f>sectionals_ranked!D182</f>
        <v>0</v>
      </c>
    </row>
    <row r="183" spans="1:2" x14ac:dyDescent="0.2">
      <c r="A183" t="s">
        <v>300</v>
      </c>
      <c r="B183">
        <f>sectionals_ranked!D183</f>
        <v>0</v>
      </c>
    </row>
    <row r="184" spans="1:2" x14ac:dyDescent="0.2">
      <c r="A184" t="s">
        <v>301</v>
      </c>
      <c r="B184">
        <f>sectionals_ranked!D184</f>
        <v>0</v>
      </c>
    </row>
    <row r="185" spans="1:2" x14ac:dyDescent="0.2">
      <c r="A185" t="s">
        <v>302</v>
      </c>
      <c r="B185">
        <f>sectionals_ranked!D185</f>
        <v>0</v>
      </c>
    </row>
    <row r="186" spans="1:2" x14ac:dyDescent="0.2">
      <c r="A186" t="s">
        <v>304</v>
      </c>
      <c r="B186">
        <f>sectionals_ranked!D186</f>
        <v>0</v>
      </c>
    </row>
    <row r="187" spans="1:2" x14ac:dyDescent="0.2">
      <c r="A187" t="s">
        <v>305</v>
      </c>
      <c r="B187">
        <f>sectionals_ranked!D187</f>
        <v>0</v>
      </c>
    </row>
    <row r="188" spans="1:2" x14ac:dyDescent="0.2">
      <c r="A188" t="s">
        <v>306</v>
      </c>
      <c r="B188">
        <f>sectionals_ranked!D188</f>
        <v>0</v>
      </c>
    </row>
    <row r="189" spans="1:2" x14ac:dyDescent="0.2">
      <c r="A189" t="s">
        <v>307</v>
      </c>
      <c r="B189">
        <f>sectionals_ranked!D189</f>
        <v>0</v>
      </c>
    </row>
    <row r="190" spans="1:2" x14ac:dyDescent="0.2">
      <c r="A190" t="s">
        <v>308</v>
      </c>
      <c r="B190">
        <f>sectionals_ranked!D190</f>
        <v>0</v>
      </c>
    </row>
    <row r="191" spans="1:2" x14ac:dyDescent="0.2">
      <c r="A191" t="s">
        <v>309</v>
      </c>
      <c r="B191">
        <f>sectionals_ranked!D191</f>
        <v>0</v>
      </c>
    </row>
    <row r="192" spans="1:2" x14ac:dyDescent="0.2">
      <c r="A192" t="s">
        <v>310</v>
      </c>
      <c r="B192">
        <f>sectionals_ranked!D192</f>
        <v>0</v>
      </c>
    </row>
    <row r="193" spans="1:2" x14ac:dyDescent="0.2">
      <c r="A193" t="s">
        <v>311</v>
      </c>
      <c r="B193">
        <f>sectionals_ranked!D193</f>
        <v>0.11405072375140665</v>
      </c>
    </row>
    <row r="194" spans="1:2" x14ac:dyDescent="0.2">
      <c r="A194" t="s">
        <v>312</v>
      </c>
      <c r="B194">
        <f>sectionals_ranked!D194</f>
        <v>0</v>
      </c>
    </row>
    <row r="195" spans="1:2" x14ac:dyDescent="0.2">
      <c r="A195" t="s">
        <v>313</v>
      </c>
      <c r="B195">
        <f>sectionals_ranked!D195</f>
        <v>0</v>
      </c>
    </row>
    <row r="196" spans="1:2" x14ac:dyDescent="0.2">
      <c r="A196" t="s">
        <v>314</v>
      </c>
      <c r="B196">
        <f>sectionals_ranked!D196</f>
        <v>0</v>
      </c>
    </row>
    <row r="197" spans="1:2" x14ac:dyDescent="0.2">
      <c r="A197" t="s">
        <v>315</v>
      </c>
      <c r="B197">
        <f>sectionals_ranked!D197</f>
        <v>0</v>
      </c>
    </row>
    <row r="198" spans="1:2" x14ac:dyDescent="0.2">
      <c r="A198" t="s">
        <v>316</v>
      </c>
      <c r="B198">
        <f>sectionals_ranked!D198</f>
        <v>0</v>
      </c>
    </row>
    <row r="199" spans="1:2" x14ac:dyDescent="0.2">
      <c r="A199" t="s">
        <v>317</v>
      </c>
      <c r="B199">
        <f>sectionals_ranked!D199</f>
        <v>0</v>
      </c>
    </row>
    <row r="200" spans="1:2" x14ac:dyDescent="0.2">
      <c r="A200" t="s">
        <v>318</v>
      </c>
      <c r="B200">
        <f>sectionals_ranked!D200</f>
        <v>0</v>
      </c>
    </row>
    <row r="201" spans="1:2" x14ac:dyDescent="0.2">
      <c r="A201" t="s">
        <v>319</v>
      </c>
      <c r="B201">
        <f>sectionals_ranked!D201</f>
        <v>0</v>
      </c>
    </row>
    <row r="202" spans="1:2" x14ac:dyDescent="0.2">
      <c r="A202" t="s">
        <v>320</v>
      </c>
      <c r="B202">
        <f>sectionals_ranked!D202</f>
        <v>0</v>
      </c>
    </row>
    <row r="203" spans="1:2" x14ac:dyDescent="0.2">
      <c r="A203" t="s">
        <v>330</v>
      </c>
      <c r="B203">
        <f>sectionals_ranked!D203</f>
        <v>0</v>
      </c>
    </row>
    <row r="204" spans="1:2" x14ac:dyDescent="0.2">
      <c r="A204" t="s">
        <v>332</v>
      </c>
      <c r="B204">
        <f>sectionals_ranked!D204</f>
        <v>0</v>
      </c>
    </row>
    <row r="205" spans="1:2" x14ac:dyDescent="0.2">
      <c r="A205" s="3" t="s">
        <v>321</v>
      </c>
      <c r="B205">
        <f>sectionals_ranked!D205</f>
        <v>0</v>
      </c>
    </row>
    <row r="206" spans="1:2" x14ac:dyDescent="0.2">
      <c r="A206" s="3" t="s">
        <v>322</v>
      </c>
      <c r="B206">
        <f>sectionals_ranked!D206</f>
        <v>0</v>
      </c>
    </row>
    <row r="207" spans="1:2" x14ac:dyDescent="0.2">
      <c r="A207" s="3" t="s">
        <v>323</v>
      </c>
      <c r="B207">
        <f>sectionals_ranked!D207</f>
        <v>0</v>
      </c>
    </row>
    <row r="208" spans="1:2" x14ac:dyDescent="0.2">
      <c r="A208" s="3" t="s">
        <v>324</v>
      </c>
      <c r="B208">
        <f>sectionals_ranked!D208</f>
        <v>0</v>
      </c>
    </row>
    <row r="209" spans="1:2" x14ac:dyDescent="0.2">
      <c r="A209" s="3" t="s">
        <v>325</v>
      </c>
      <c r="B209">
        <f>sectionals_ranked!D209</f>
        <v>0</v>
      </c>
    </row>
    <row r="210" spans="1:2" x14ac:dyDescent="0.2">
      <c r="A210" s="3" t="s">
        <v>326</v>
      </c>
      <c r="B210">
        <f>sectionals_ranked!D210</f>
        <v>0</v>
      </c>
    </row>
    <row r="211" spans="1:2" x14ac:dyDescent="0.2">
      <c r="A211" s="3" t="s">
        <v>327</v>
      </c>
      <c r="B211">
        <f>sectionals_ranked!D211</f>
        <v>0</v>
      </c>
    </row>
    <row r="212" spans="1:2" x14ac:dyDescent="0.2">
      <c r="A212" s="3" t="s">
        <v>328</v>
      </c>
      <c r="B212">
        <f>sectionals_ranked!D212</f>
        <v>0</v>
      </c>
    </row>
    <row r="213" spans="1:2" x14ac:dyDescent="0.2">
      <c r="A213" s="3" t="s">
        <v>329</v>
      </c>
      <c r="B213">
        <f>sectionals_ranked!D213</f>
        <v>0</v>
      </c>
    </row>
    <row r="214" spans="1:2" x14ac:dyDescent="0.2">
      <c r="A214" s="3" t="s">
        <v>331</v>
      </c>
      <c r="B214">
        <f>sectionals_ranked!D214</f>
        <v>0</v>
      </c>
    </row>
    <row r="215" spans="1:2" x14ac:dyDescent="0.2">
      <c r="A215" t="s">
        <v>341</v>
      </c>
      <c r="B215">
        <f>sectionals_ranked!D215</f>
        <v>0</v>
      </c>
    </row>
    <row r="216" spans="1:2" x14ac:dyDescent="0.2">
      <c r="A216" t="s">
        <v>341</v>
      </c>
      <c r="B216">
        <f>sectionals_ranked!D216</f>
        <v>0</v>
      </c>
    </row>
    <row r="217" spans="1:2" x14ac:dyDescent="0.2">
      <c r="A217" t="s">
        <v>344</v>
      </c>
      <c r="B217">
        <f>sectionals_ranked!D217</f>
        <v>0</v>
      </c>
    </row>
    <row r="218" spans="1:2" x14ac:dyDescent="0.2">
      <c r="A218" t="s">
        <v>344</v>
      </c>
      <c r="B218">
        <f>sectionals_ranked!D218</f>
        <v>0</v>
      </c>
    </row>
    <row r="219" spans="1:2" x14ac:dyDescent="0.2">
      <c r="A219" s="3" t="s">
        <v>333</v>
      </c>
      <c r="B219">
        <f>sectionals_ranked!D219</f>
        <v>0</v>
      </c>
    </row>
    <row r="220" spans="1:2" x14ac:dyDescent="0.2">
      <c r="A220" s="3" t="s">
        <v>333</v>
      </c>
      <c r="B220">
        <f>sectionals_ranked!D220</f>
        <v>0</v>
      </c>
    </row>
    <row r="221" spans="1:2" x14ac:dyDescent="0.2">
      <c r="A221" s="3" t="s">
        <v>334</v>
      </c>
      <c r="B221">
        <f>sectionals_ranked!D221</f>
        <v>0</v>
      </c>
    </row>
    <row r="222" spans="1:2" x14ac:dyDescent="0.2">
      <c r="A222" s="3" t="s">
        <v>334</v>
      </c>
      <c r="B222">
        <f>sectionals_ranked!D222</f>
        <v>0</v>
      </c>
    </row>
    <row r="223" spans="1:2" x14ac:dyDescent="0.2">
      <c r="A223" s="3" t="s">
        <v>335</v>
      </c>
      <c r="B223">
        <f>sectionals_ranked!D223</f>
        <v>0</v>
      </c>
    </row>
    <row r="224" spans="1:2" x14ac:dyDescent="0.2">
      <c r="A224" s="3" t="s">
        <v>335</v>
      </c>
      <c r="B224">
        <f>sectionals_ranked!D224</f>
        <v>0</v>
      </c>
    </row>
    <row r="225" spans="1:2" x14ac:dyDescent="0.2">
      <c r="A225" s="3" t="s">
        <v>560</v>
      </c>
      <c r="B225">
        <f>sectionals_ranked!D225</f>
        <v>0</v>
      </c>
    </row>
    <row r="226" spans="1:2" x14ac:dyDescent="0.2">
      <c r="A226" s="3" t="s">
        <v>560</v>
      </c>
      <c r="B226">
        <f>sectionals_ranked!D226</f>
        <v>0</v>
      </c>
    </row>
    <row r="227" spans="1:2" x14ac:dyDescent="0.2">
      <c r="A227" s="3" t="s">
        <v>336</v>
      </c>
      <c r="B227">
        <f>sectionals_ranked!D227</f>
        <v>0</v>
      </c>
    </row>
    <row r="228" spans="1:2" x14ac:dyDescent="0.2">
      <c r="A228" s="3" t="s">
        <v>336</v>
      </c>
      <c r="B228">
        <f>sectionals_ranked!D228</f>
        <v>0</v>
      </c>
    </row>
    <row r="229" spans="1:2" x14ac:dyDescent="0.2">
      <c r="A229" s="3" t="s">
        <v>337</v>
      </c>
      <c r="B229">
        <f>sectionals_ranked!D229</f>
        <v>0</v>
      </c>
    </row>
    <row r="230" spans="1:2" x14ac:dyDescent="0.2">
      <c r="A230" s="3" t="s">
        <v>337</v>
      </c>
      <c r="B230">
        <f>sectionals_ranked!D230</f>
        <v>0</v>
      </c>
    </row>
    <row r="231" spans="1:2" x14ac:dyDescent="0.2">
      <c r="A231" s="3" t="s">
        <v>338</v>
      </c>
      <c r="B231">
        <f>sectionals_ranked!D231</f>
        <v>0</v>
      </c>
    </row>
    <row r="232" spans="1:2" x14ac:dyDescent="0.2">
      <c r="A232" s="3" t="s">
        <v>338</v>
      </c>
      <c r="B232">
        <f>sectionals_ranked!D232</f>
        <v>0</v>
      </c>
    </row>
    <row r="233" spans="1:2" x14ac:dyDescent="0.2">
      <c r="A233" s="3" t="s">
        <v>339</v>
      </c>
      <c r="B233">
        <f>sectionals_ranked!D233</f>
        <v>0</v>
      </c>
    </row>
    <row r="234" spans="1:2" x14ac:dyDescent="0.2">
      <c r="A234" s="3" t="s">
        <v>339</v>
      </c>
      <c r="B234">
        <f>sectionals_ranked!D234</f>
        <v>0</v>
      </c>
    </row>
    <row r="235" spans="1:2" x14ac:dyDescent="0.2">
      <c r="A235" s="3" t="s">
        <v>340</v>
      </c>
      <c r="B235">
        <f>sectionals_ranked!D235</f>
        <v>0</v>
      </c>
    </row>
    <row r="236" spans="1:2" x14ac:dyDescent="0.2">
      <c r="A236" s="3" t="s">
        <v>340</v>
      </c>
      <c r="B236">
        <f>sectionals_ranked!D236</f>
        <v>0</v>
      </c>
    </row>
    <row r="237" spans="1:2" x14ac:dyDescent="0.2">
      <c r="A237" s="3" t="s">
        <v>342</v>
      </c>
      <c r="B237">
        <f>sectionals_ranked!D237</f>
        <v>0</v>
      </c>
    </row>
    <row r="238" spans="1:2" x14ac:dyDescent="0.2">
      <c r="A238" s="3" t="s">
        <v>342</v>
      </c>
      <c r="B238">
        <f>sectionals_ranked!D238</f>
        <v>0</v>
      </c>
    </row>
    <row r="239" spans="1:2" x14ac:dyDescent="0.2">
      <c r="A239" s="3" t="s">
        <v>343</v>
      </c>
      <c r="B239">
        <f>sectionals_ranked!D239</f>
        <v>0</v>
      </c>
    </row>
    <row r="240" spans="1:2" x14ac:dyDescent="0.2">
      <c r="A240" s="3" t="s">
        <v>343</v>
      </c>
      <c r="B240">
        <f>sectionals_ranked!D240</f>
        <v>0</v>
      </c>
    </row>
    <row r="241" spans="1:2" x14ac:dyDescent="0.2">
      <c r="A241" t="s">
        <v>345</v>
      </c>
      <c r="B241">
        <f>sectionals_ranked!D241</f>
        <v>0</v>
      </c>
    </row>
    <row r="242" spans="1:2" x14ac:dyDescent="0.2">
      <c r="A242" t="s">
        <v>346</v>
      </c>
      <c r="B242">
        <f>sectionals_ranked!D242</f>
        <v>0</v>
      </c>
    </row>
    <row r="243" spans="1:2" x14ac:dyDescent="0.2">
      <c r="A243" t="s">
        <v>347</v>
      </c>
      <c r="B243">
        <f>sectionals_ranked!D243</f>
        <v>0</v>
      </c>
    </row>
    <row r="244" spans="1:2" x14ac:dyDescent="0.2">
      <c r="A244" t="s">
        <v>348</v>
      </c>
      <c r="B244">
        <f>sectionals_ranked!D244</f>
        <v>0</v>
      </c>
    </row>
    <row r="245" spans="1:2" x14ac:dyDescent="0.2">
      <c r="A245" t="s">
        <v>349</v>
      </c>
      <c r="B245">
        <f>sectionals_ranked!D245</f>
        <v>0</v>
      </c>
    </row>
    <row r="246" spans="1:2" x14ac:dyDescent="0.2">
      <c r="A246" t="s">
        <v>350</v>
      </c>
      <c r="B246">
        <f>sectionals_ranked!D246</f>
        <v>0</v>
      </c>
    </row>
    <row r="247" spans="1:2" x14ac:dyDescent="0.2">
      <c r="A247" t="s">
        <v>351</v>
      </c>
      <c r="B247">
        <f>sectionals_ranked!D247</f>
        <v>0</v>
      </c>
    </row>
    <row r="248" spans="1:2" x14ac:dyDescent="0.2">
      <c r="A248" t="s">
        <v>352</v>
      </c>
      <c r="B248">
        <f>sectionals_ranked!D248</f>
        <v>0</v>
      </c>
    </row>
    <row r="249" spans="1:2" x14ac:dyDescent="0.2">
      <c r="A249" t="s">
        <v>353</v>
      </c>
      <c r="B249">
        <f>sectionals_ranked!D249</f>
        <v>0</v>
      </c>
    </row>
    <row r="250" spans="1:2" x14ac:dyDescent="0.2">
      <c r="A250" t="s">
        <v>354</v>
      </c>
      <c r="B250">
        <f>sectionals_ranked!D250</f>
        <v>0</v>
      </c>
    </row>
    <row r="251" spans="1:2" x14ac:dyDescent="0.2">
      <c r="A251" t="s">
        <v>355</v>
      </c>
      <c r="B251">
        <f>sectionals_ranked!D251</f>
        <v>0</v>
      </c>
    </row>
    <row r="252" spans="1:2" x14ac:dyDescent="0.2">
      <c r="A252" t="s">
        <v>356</v>
      </c>
      <c r="B252">
        <f>sectionals_ranked!D252</f>
        <v>0</v>
      </c>
    </row>
    <row r="253" spans="1:2" x14ac:dyDescent="0.2">
      <c r="A253" t="s">
        <v>43</v>
      </c>
      <c r="B253">
        <f>sectionals_ranked!D253</f>
        <v>0</v>
      </c>
    </row>
    <row r="254" spans="1:2" x14ac:dyDescent="0.2">
      <c r="A254" t="s">
        <v>358</v>
      </c>
      <c r="B254">
        <f>sectionals_ranked!D254</f>
        <v>0</v>
      </c>
    </row>
    <row r="255" spans="1:2" x14ac:dyDescent="0.2">
      <c r="A255" t="s">
        <v>359</v>
      </c>
      <c r="B255">
        <f>sectionals_ranked!D255</f>
        <v>0</v>
      </c>
    </row>
    <row r="256" spans="1:2" x14ac:dyDescent="0.2">
      <c r="A256" t="s">
        <v>47</v>
      </c>
      <c r="B256">
        <f>sectionals_ranked!D256</f>
        <v>0</v>
      </c>
    </row>
    <row r="257" spans="1:2" x14ac:dyDescent="0.2">
      <c r="A257" t="s">
        <v>360</v>
      </c>
      <c r="B257">
        <f>sectionals_ranked!D257</f>
        <v>0</v>
      </c>
    </row>
    <row r="258" spans="1:2" x14ac:dyDescent="0.2">
      <c r="A258" t="s">
        <v>361</v>
      </c>
      <c r="B258">
        <f>sectionals_ranked!D258</f>
        <v>0</v>
      </c>
    </row>
    <row r="259" spans="1:2" x14ac:dyDescent="0.2">
      <c r="A259" t="s">
        <v>362</v>
      </c>
      <c r="B259">
        <f>sectionals_ranked!D259</f>
        <v>0</v>
      </c>
    </row>
    <row r="260" spans="1:2" x14ac:dyDescent="0.2">
      <c r="A260" t="s">
        <v>362</v>
      </c>
      <c r="B260">
        <f>sectionals_ranked!D260</f>
        <v>0</v>
      </c>
    </row>
    <row r="261" spans="1:2" x14ac:dyDescent="0.2">
      <c r="A261" t="s">
        <v>363</v>
      </c>
      <c r="B261">
        <f>sectionals_ranked!D261</f>
        <v>0</v>
      </c>
    </row>
    <row r="262" spans="1:2" x14ac:dyDescent="0.2">
      <c r="A262" t="s">
        <v>364</v>
      </c>
      <c r="B262">
        <f>sectionals_ranked!D262</f>
        <v>0</v>
      </c>
    </row>
    <row r="263" spans="1:2" x14ac:dyDescent="0.2">
      <c r="A263" t="s">
        <v>365</v>
      </c>
      <c r="B263">
        <f>sectionals_ranked!D263</f>
        <v>0</v>
      </c>
    </row>
    <row r="264" spans="1:2" x14ac:dyDescent="0.2">
      <c r="A264" t="s">
        <v>366</v>
      </c>
      <c r="B264">
        <f>sectionals_ranked!D264</f>
        <v>0</v>
      </c>
    </row>
    <row r="265" spans="1:2" x14ac:dyDescent="0.2">
      <c r="A265" t="s">
        <v>367</v>
      </c>
      <c r="B265">
        <f>sectionals_ranked!D265</f>
        <v>0</v>
      </c>
    </row>
    <row r="266" spans="1:2" x14ac:dyDescent="0.2">
      <c r="A266" t="s">
        <v>368</v>
      </c>
      <c r="B266">
        <f>sectionals_ranked!D266</f>
        <v>0</v>
      </c>
    </row>
    <row r="267" spans="1:2" x14ac:dyDescent="0.2">
      <c r="A267" t="s">
        <v>369</v>
      </c>
      <c r="B267">
        <f>sectionals_ranked!D267</f>
        <v>0</v>
      </c>
    </row>
    <row r="268" spans="1:2" x14ac:dyDescent="0.2">
      <c r="A268" t="s">
        <v>370</v>
      </c>
      <c r="B268">
        <f>sectionals_ranked!D268</f>
        <v>0</v>
      </c>
    </row>
    <row r="269" spans="1:2" x14ac:dyDescent="0.2">
      <c r="A269" t="s">
        <v>371</v>
      </c>
      <c r="B269">
        <f>sectionals_ranked!D269</f>
        <v>0</v>
      </c>
    </row>
    <row r="270" spans="1:2" x14ac:dyDescent="0.2">
      <c r="A270" t="s">
        <v>372</v>
      </c>
      <c r="B270">
        <f>sectionals_ranked!D270</f>
        <v>0</v>
      </c>
    </row>
    <row r="271" spans="1:2" x14ac:dyDescent="0.2">
      <c r="A271" t="s">
        <v>373</v>
      </c>
      <c r="B271">
        <f>sectionals_ranked!D271</f>
        <v>0</v>
      </c>
    </row>
    <row r="272" spans="1:2" x14ac:dyDescent="0.2">
      <c r="A272" t="s">
        <v>374</v>
      </c>
      <c r="B272">
        <f>sectionals_ranked!D272</f>
        <v>0</v>
      </c>
    </row>
    <row r="273" spans="1:2" x14ac:dyDescent="0.2">
      <c r="A273" t="s">
        <v>375</v>
      </c>
      <c r="B273">
        <f>sectionals_ranked!D273</f>
        <v>0</v>
      </c>
    </row>
    <row r="274" spans="1:2" x14ac:dyDescent="0.2">
      <c r="A274" t="s">
        <v>376</v>
      </c>
      <c r="B274">
        <f>sectionals_ranked!D274</f>
        <v>0</v>
      </c>
    </row>
    <row r="275" spans="1:2" x14ac:dyDescent="0.2">
      <c r="A275" t="s">
        <v>377</v>
      </c>
      <c r="B275">
        <f>sectionals_ranked!D275</f>
        <v>0</v>
      </c>
    </row>
    <row r="276" spans="1:2" x14ac:dyDescent="0.2">
      <c r="A276" t="s">
        <v>378</v>
      </c>
      <c r="B276">
        <f>sectionals_ranked!D276</f>
        <v>0</v>
      </c>
    </row>
    <row r="277" spans="1:2" x14ac:dyDescent="0.2">
      <c r="A277" t="s">
        <v>379</v>
      </c>
      <c r="B277">
        <f>sectionals_ranked!D277</f>
        <v>0</v>
      </c>
    </row>
    <row r="278" spans="1:2" x14ac:dyDescent="0.2">
      <c r="A278" t="s">
        <v>380</v>
      </c>
      <c r="B278">
        <f>sectionals_ranked!D278</f>
        <v>0</v>
      </c>
    </row>
    <row r="279" spans="1:2" x14ac:dyDescent="0.2">
      <c r="A279" t="s">
        <v>381</v>
      </c>
      <c r="B279">
        <f>sectionals_ranked!D279</f>
        <v>0</v>
      </c>
    </row>
    <row r="280" spans="1:2" x14ac:dyDescent="0.2">
      <c r="A280" t="s">
        <v>382</v>
      </c>
      <c r="B280">
        <f>sectionals_ranked!D280</f>
        <v>0</v>
      </c>
    </row>
    <row r="281" spans="1:2" x14ac:dyDescent="0.2">
      <c r="A281" t="s">
        <v>383</v>
      </c>
      <c r="B281">
        <f>sectionals_ranked!D281</f>
        <v>0</v>
      </c>
    </row>
    <row r="282" spans="1:2" x14ac:dyDescent="0.2">
      <c r="A282" t="s">
        <v>384</v>
      </c>
      <c r="B282">
        <f>sectionals_ranked!D282</f>
        <v>0</v>
      </c>
    </row>
    <row r="283" spans="1:2" x14ac:dyDescent="0.2">
      <c r="A283" t="s">
        <v>385</v>
      </c>
      <c r="B283">
        <f>sectionals_ranked!D283</f>
        <v>0</v>
      </c>
    </row>
    <row r="284" spans="1:2" x14ac:dyDescent="0.2">
      <c r="A284" t="s">
        <v>386</v>
      </c>
      <c r="B284">
        <f>sectionals_ranked!D284</f>
        <v>0</v>
      </c>
    </row>
    <row r="285" spans="1:2" x14ac:dyDescent="0.2">
      <c r="A285" t="s">
        <v>387</v>
      </c>
      <c r="B285">
        <f>sectionals_ranked!D285</f>
        <v>0</v>
      </c>
    </row>
    <row r="286" spans="1:2" x14ac:dyDescent="0.2">
      <c r="A286" t="s">
        <v>388</v>
      </c>
      <c r="B286">
        <f>sectionals_ranked!D286</f>
        <v>0</v>
      </c>
    </row>
    <row r="287" spans="1:2" x14ac:dyDescent="0.2">
      <c r="A287" t="s">
        <v>389</v>
      </c>
      <c r="B287">
        <f>sectionals_ranked!D287</f>
        <v>0</v>
      </c>
    </row>
    <row r="288" spans="1:2" x14ac:dyDescent="0.2">
      <c r="A288" t="s">
        <v>390</v>
      </c>
      <c r="B288">
        <f>sectionals_ranked!D288</f>
        <v>0</v>
      </c>
    </row>
    <row r="289" spans="1:2" x14ac:dyDescent="0.2">
      <c r="A289" t="s">
        <v>391</v>
      </c>
      <c r="B289">
        <f>sectionals_ranked!D289</f>
        <v>0</v>
      </c>
    </row>
    <row r="290" spans="1:2" x14ac:dyDescent="0.2">
      <c r="A290" t="s">
        <v>392</v>
      </c>
      <c r="B290">
        <f>sectionals_ranked!D290</f>
        <v>0</v>
      </c>
    </row>
    <row r="291" spans="1:2" x14ac:dyDescent="0.2">
      <c r="A291" t="s">
        <v>393</v>
      </c>
      <c r="B291">
        <f>sectionals_ranked!D291</f>
        <v>0</v>
      </c>
    </row>
    <row r="292" spans="1:2" x14ac:dyDescent="0.2">
      <c r="A292" t="s">
        <v>394</v>
      </c>
      <c r="B292">
        <f>sectionals_ranked!D292</f>
        <v>0</v>
      </c>
    </row>
    <row r="293" spans="1:2" x14ac:dyDescent="0.2">
      <c r="A293" t="s">
        <v>395</v>
      </c>
      <c r="B293">
        <f>sectionals_ranked!D293</f>
        <v>0</v>
      </c>
    </row>
    <row r="294" spans="1:2" x14ac:dyDescent="0.2">
      <c r="A294" t="s">
        <v>396</v>
      </c>
      <c r="B294">
        <f>sectionals_ranked!D294</f>
        <v>0</v>
      </c>
    </row>
    <row r="295" spans="1:2" x14ac:dyDescent="0.2">
      <c r="A295" t="s">
        <v>397</v>
      </c>
      <c r="B295">
        <f>sectionals_ranked!D295</f>
        <v>0</v>
      </c>
    </row>
    <row r="296" spans="1:2" x14ac:dyDescent="0.2">
      <c r="A296" t="s">
        <v>398</v>
      </c>
      <c r="B296">
        <f>sectionals_ranked!D296</f>
        <v>0</v>
      </c>
    </row>
    <row r="297" spans="1:2" x14ac:dyDescent="0.2">
      <c r="A297" t="s">
        <v>399</v>
      </c>
      <c r="B297">
        <f>sectionals_ranked!D297</f>
        <v>0</v>
      </c>
    </row>
    <row r="298" spans="1:2" x14ac:dyDescent="0.2">
      <c r="A298" t="s">
        <v>400</v>
      </c>
      <c r="B298">
        <f>sectionals_ranked!D298</f>
        <v>0</v>
      </c>
    </row>
    <row r="299" spans="1:2" x14ac:dyDescent="0.2">
      <c r="A299" t="s">
        <v>401</v>
      </c>
      <c r="B299">
        <f>sectionals_ranked!D299</f>
        <v>0</v>
      </c>
    </row>
    <row r="300" spans="1:2" x14ac:dyDescent="0.2">
      <c r="A300" t="s">
        <v>402</v>
      </c>
      <c r="B300">
        <f>sectionals_ranked!D300</f>
        <v>0</v>
      </c>
    </row>
    <row r="301" spans="1:2" x14ac:dyDescent="0.2">
      <c r="A301" t="s">
        <v>403</v>
      </c>
      <c r="B301">
        <f>sectionals_ranked!D301</f>
        <v>0</v>
      </c>
    </row>
    <row r="302" spans="1:2" x14ac:dyDescent="0.2">
      <c r="A302" t="s">
        <v>404</v>
      </c>
      <c r="B302">
        <f>sectionals_ranked!D302</f>
        <v>0</v>
      </c>
    </row>
    <row r="303" spans="1:2" x14ac:dyDescent="0.2">
      <c r="A303" t="s">
        <v>405</v>
      </c>
      <c r="B303">
        <f>sectionals_ranked!D303</f>
        <v>0</v>
      </c>
    </row>
    <row r="304" spans="1:2" x14ac:dyDescent="0.2">
      <c r="A304" t="s">
        <v>406</v>
      </c>
      <c r="B304">
        <f>sectionals_ranked!D304</f>
        <v>0</v>
      </c>
    </row>
    <row r="305" spans="1:2" x14ac:dyDescent="0.2">
      <c r="A305" t="s">
        <v>63</v>
      </c>
      <c r="B305">
        <f>sectionals_ranked!D305</f>
        <v>0</v>
      </c>
    </row>
    <row r="306" spans="1:2" x14ac:dyDescent="0.2">
      <c r="A306" t="s">
        <v>407</v>
      </c>
      <c r="B306">
        <f>sectionals_ranked!D306</f>
        <v>0</v>
      </c>
    </row>
    <row r="307" spans="1:2" x14ac:dyDescent="0.2">
      <c r="A307" t="s">
        <v>408</v>
      </c>
      <c r="B307">
        <f>sectionals_ranked!D307</f>
        <v>0</v>
      </c>
    </row>
    <row r="308" spans="1:2" x14ac:dyDescent="0.2">
      <c r="A308" t="s">
        <v>409</v>
      </c>
      <c r="B308">
        <f>sectionals_ranked!D308</f>
        <v>0</v>
      </c>
    </row>
    <row r="309" spans="1:2" x14ac:dyDescent="0.2">
      <c r="A309" t="s">
        <v>410</v>
      </c>
      <c r="B309">
        <f>sectionals_ranked!D309</f>
        <v>0</v>
      </c>
    </row>
    <row r="310" spans="1:2" x14ac:dyDescent="0.2">
      <c r="A310" t="s">
        <v>411</v>
      </c>
      <c r="B310">
        <f>sectionals_ranked!D310</f>
        <v>0</v>
      </c>
    </row>
    <row r="311" spans="1:2" x14ac:dyDescent="0.2">
      <c r="A311" t="s">
        <v>412</v>
      </c>
      <c r="B311">
        <f>sectionals_ranked!D311</f>
        <v>0</v>
      </c>
    </row>
    <row r="312" spans="1:2" x14ac:dyDescent="0.2">
      <c r="A312" t="s">
        <v>413</v>
      </c>
      <c r="B312">
        <f>sectionals_ranked!D312</f>
        <v>0</v>
      </c>
    </row>
    <row r="313" spans="1:2" x14ac:dyDescent="0.2">
      <c r="A313" t="s">
        <v>414</v>
      </c>
      <c r="B313">
        <f>sectionals_ranked!D313</f>
        <v>0</v>
      </c>
    </row>
    <row r="314" spans="1:2" x14ac:dyDescent="0.2">
      <c r="A314" t="s">
        <v>415</v>
      </c>
      <c r="B314">
        <f>sectionals_ranked!D314</f>
        <v>0</v>
      </c>
    </row>
    <row r="315" spans="1:2" x14ac:dyDescent="0.2">
      <c r="A315" t="s">
        <v>416</v>
      </c>
      <c r="B315">
        <f>sectionals_ranked!D315</f>
        <v>0</v>
      </c>
    </row>
    <row r="316" spans="1:2" x14ac:dyDescent="0.2">
      <c r="A316" t="s">
        <v>417</v>
      </c>
      <c r="B316">
        <f>sectionals_ranked!D316</f>
        <v>0</v>
      </c>
    </row>
    <row r="317" spans="1:2" x14ac:dyDescent="0.2">
      <c r="A317" t="s">
        <v>418</v>
      </c>
      <c r="B317">
        <f>sectionals_ranked!D317</f>
        <v>0</v>
      </c>
    </row>
    <row r="318" spans="1:2" x14ac:dyDescent="0.2">
      <c r="A318" t="s">
        <v>74</v>
      </c>
      <c r="B318">
        <f>sectionals_ranked!D318</f>
        <v>0</v>
      </c>
    </row>
    <row r="319" spans="1:2" x14ac:dyDescent="0.2">
      <c r="A319" t="s">
        <v>419</v>
      </c>
      <c r="B319">
        <f>sectionals_ranked!D319</f>
        <v>0</v>
      </c>
    </row>
    <row r="320" spans="1:2" x14ac:dyDescent="0.2">
      <c r="A320" t="s">
        <v>420</v>
      </c>
      <c r="B320">
        <f>sectionals_ranked!D320</f>
        <v>0</v>
      </c>
    </row>
    <row r="321" spans="1:2" x14ac:dyDescent="0.2">
      <c r="A321" t="s">
        <v>77</v>
      </c>
      <c r="B321">
        <f>sectionals_ranked!D321</f>
        <v>0</v>
      </c>
    </row>
    <row r="322" spans="1:2" x14ac:dyDescent="0.2">
      <c r="A322" t="s">
        <v>421</v>
      </c>
      <c r="B322">
        <f>sectionals_ranked!D322</f>
        <v>0</v>
      </c>
    </row>
    <row r="323" spans="1:2" x14ac:dyDescent="0.2">
      <c r="A323" t="s">
        <v>422</v>
      </c>
      <c r="B323">
        <f>sectionals_ranked!D323</f>
        <v>0</v>
      </c>
    </row>
    <row r="324" spans="1:2" x14ac:dyDescent="0.2">
      <c r="A324" t="s">
        <v>425</v>
      </c>
      <c r="B324">
        <f>sectionals_ranked!D324</f>
        <v>0</v>
      </c>
    </row>
    <row r="325" spans="1:2" x14ac:dyDescent="0.2">
      <c r="A325" t="s">
        <v>423</v>
      </c>
      <c r="B325">
        <f>sectionals_ranked!D325</f>
        <v>0</v>
      </c>
    </row>
    <row r="326" spans="1:2" x14ac:dyDescent="0.2">
      <c r="A326" t="s">
        <v>424</v>
      </c>
      <c r="B326">
        <f>sectionals_ranked!D326</f>
        <v>0</v>
      </c>
    </row>
    <row r="327" spans="1:2" x14ac:dyDescent="0.2">
      <c r="A327" t="s">
        <v>426</v>
      </c>
      <c r="B327">
        <f>sectionals_ranked!D327</f>
        <v>0</v>
      </c>
    </row>
    <row r="328" spans="1:2" x14ac:dyDescent="0.2">
      <c r="A328" t="s">
        <v>427</v>
      </c>
      <c r="B328">
        <f>sectionals_ranked!D328</f>
        <v>0</v>
      </c>
    </row>
    <row r="329" spans="1:2" x14ac:dyDescent="0.2">
      <c r="A329" t="s">
        <v>428</v>
      </c>
      <c r="B329">
        <f>sectionals_ranked!D329</f>
        <v>0</v>
      </c>
    </row>
    <row r="330" spans="1:2" x14ac:dyDescent="0.2">
      <c r="A330" t="s">
        <v>429</v>
      </c>
      <c r="B330">
        <f>sectionals_ranked!D330</f>
        <v>0</v>
      </c>
    </row>
    <row r="331" spans="1:2" x14ac:dyDescent="0.2">
      <c r="A331" t="s">
        <v>430</v>
      </c>
      <c r="B331">
        <f>sectionals_ranked!D331</f>
        <v>0</v>
      </c>
    </row>
    <row r="332" spans="1:2" x14ac:dyDescent="0.2">
      <c r="A332" t="s">
        <v>431</v>
      </c>
      <c r="B332">
        <f>sectionals_ranked!D332</f>
        <v>0</v>
      </c>
    </row>
    <row r="333" spans="1:2" x14ac:dyDescent="0.2">
      <c r="A333" t="s">
        <v>432</v>
      </c>
      <c r="B333">
        <f>sectionals_ranked!D333</f>
        <v>0</v>
      </c>
    </row>
    <row r="334" spans="1:2" x14ac:dyDescent="0.2">
      <c r="A334" t="s">
        <v>433</v>
      </c>
      <c r="B334">
        <f>sectionals_ranked!D334</f>
        <v>0</v>
      </c>
    </row>
    <row r="335" spans="1:2" x14ac:dyDescent="0.2">
      <c r="A335" t="s">
        <v>434</v>
      </c>
      <c r="B335">
        <f>sectionals_ranked!D335</f>
        <v>0</v>
      </c>
    </row>
    <row r="336" spans="1:2" x14ac:dyDescent="0.2">
      <c r="A336" t="s">
        <v>435</v>
      </c>
      <c r="B336">
        <f>sectionals_ranked!D336</f>
        <v>0</v>
      </c>
    </row>
    <row r="337" spans="1:2" x14ac:dyDescent="0.2">
      <c r="A337" t="s">
        <v>436</v>
      </c>
      <c r="B337">
        <f>sectionals_ranked!D337</f>
        <v>0</v>
      </c>
    </row>
    <row r="338" spans="1:2" x14ac:dyDescent="0.2">
      <c r="A338" t="s">
        <v>437</v>
      </c>
      <c r="B338">
        <f>sectionals_ranked!D338</f>
        <v>0</v>
      </c>
    </row>
    <row r="339" spans="1:2" x14ac:dyDescent="0.2">
      <c r="A339" t="s">
        <v>438</v>
      </c>
      <c r="B339">
        <f>sectionals_ranked!D339</f>
        <v>0</v>
      </c>
    </row>
    <row r="340" spans="1:2" x14ac:dyDescent="0.2">
      <c r="A340" t="s">
        <v>439</v>
      </c>
      <c r="B340">
        <f>sectionals_ranked!D340</f>
        <v>0</v>
      </c>
    </row>
    <row r="341" spans="1:2" x14ac:dyDescent="0.2">
      <c r="A341" t="s">
        <v>440</v>
      </c>
      <c r="B341">
        <f>sectionals_ranked!D341</f>
        <v>0</v>
      </c>
    </row>
    <row r="342" spans="1:2" x14ac:dyDescent="0.2">
      <c r="A342" t="s">
        <v>441</v>
      </c>
      <c r="B342">
        <f>sectionals_ranked!D342</f>
        <v>0</v>
      </c>
    </row>
    <row r="343" spans="1:2" x14ac:dyDescent="0.2">
      <c r="A343" t="s">
        <v>442</v>
      </c>
      <c r="B343">
        <f>sectionals_ranked!D343</f>
        <v>0</v>
      </c>
    </row>
    <row r="344" spans="1:2" x14ac:dyDescent="0.2">
      <c r="A344" t="s">
        <v>443</v>
      </c>
      <c r="B344">
        <f>sectionals_ranked!D344</f>
        <v>0</v>
      </c>
    </row>
    <row r="345" spans="1:2" x14ac:dyDescent="0.2">
      <c r="A345" t="s">
        <v>444</v>
      </c>
      <c r="B345">
        <f>sectionals_ranked!D345</f>
        <v>0</v>
      </c>
    </row>
    <row r="346" spans="1:2" x14ac:dyDescent="0.2">
      <c r="A346" t="s">
        <v>445</v>
      </c>
      <c r="B346">
        <f>sectionals_ranked!D346</f>
        <v>0</v>
      </c>
    </row>
    <row r="347" spans="1:2" x14ac:dyDescent="0.2">
      <c r="A347" t="s">
        <v>446</v>
      </c>
      <c r="B347">
        <f>sectionals_ranked!D347</f>
        <v>0</v>
      </c>
    </row>
    <row r="348" spans="1:2" x14ac:dyDescent="0.2">
      <c r="A348" t="s">
        <v>447</v>
      </c>
      <c r="B348">
        <f>sectionals_ranked!D348</f>
        <v>0</v>
      </c>
    </row>
    <row r="349" spans="1:2" x14ac:dyDescent="0.2">
      <c r="A349" t="s">
        <v>448</v>
      </c>
      <c r="B349">
        <f>sectionals_ranked!D349</f>
        <v>0</v>
      </c>
    </row>
    <row r="350" spans="1:2" x14ac:dyDescent="0.2">
      <c r="A350" t="s">
        <v>449</v>
      </c>
      <c r="B350">
        <f>sectionals_ranked!D350</f>
        <v>0</v>
      </c>
    </row>
    <row r="351" spans="1:2" x14ac:dyDescent="0.2">
      <c r="A351" t="s">
        <v>450</v>
      </c>
      <c r="B351">
        <f>sectionals_ranked!D351</f>
        <v>0</v>
      </c>
    </row>
    <row r="352" spans="1:2" x14ac:dyDescent="0.2">
      <c r="A352" t="s">
        <v>451</v>
      </c>
      <c r="B352">
        <f>sectionals_ranked!D352</f>
        <v>0</v>
      </c>
    </row>
    <row r="353" spans="1:2" x14ac:dyDescent="0.2">
      <c r="A353" t="s">
        <v>452</v>
      </c>
      <c r="B353">
        <f>sectionals_ranked!D353</f>
        <v>0</v>
      </c>
    </row>
    <row r="354" spans="1:2" x14ac:dyDescent="0.2">
      <c r="A354" t="s">
        <v>453</v>
      </c>
      <c r="B354">
        <f>sectionals_ranked!D354</f>
        <v>0</v>
      </c>
    </row>
    <row r="355" spans="1:2" x14ac:dyDescent="0.2">
      <c r="A355" t="s">
        <v>454</v>
      </c>
      <c r="B355">
        <f>sectionals_ranked!D355</f>
        <v>0</v>
      </c>
    </row>
    <row r="356" spans="1:2" x14ac:dyDescent="0.2">
      <c r="A356" t="s">
        <v>455</v>
      </c>
      <c r="B356">
        <f>sectionals_ranked!D356</f>
        <v>0</v>
      </c>
    </row>
    <row r="357" spans="1:2" x14ac:dyDescent="0.2">
      <c r="A357" t="s">
        <v>456</v>
      </c>
      <c r="B357">
        <f>sectionals_ranked!D357</f>
        <v>0</v>
      </c>
    </row>
    <row r="358" spans="1:2" x14ac:dyDescent="0.2">
      <c r="A358" t="s">
        <v>457</v>
      </c>
      <c r="B358">
        <f>sectionals_ranked!D358</f>
        <v>0</v>
      </c>
    </row>
    <row r="359" spans="1:2" x14ac:dyDescent="0.2">
      <c r="A359" t="s">
        <v>458</v>
      </c>
      <c r="B359">
        <f>sectionals_ranked!D359</f>
        <v>0</v>
      </c>
    </row>
    <row r="360" spans="1:2" x14ac:dyDescent="0.2">
      <c r="A360" t="s">
        <v>459</v>
      </c>
      <c r="B360">
        <f>sectionals_ranked!D360</f>
        <v>0</v>
      </c>
    </row>
    <row r="361" spans="1:2" x14ac:dyDescent="0.2">
      <c r="A361" t="s">
        <v>460</v>
      </c>
      <c r="B361">
        <f>sectionals_ranked!D361</f>
        <v>0</v>
      </c>
    </row>
    <row r="362" spans="1:2" x14ac:dyDescent="0.2">
      <c r="A362" t="s">
        <v>461</v>
      </c>
      <c r="B362">
        <f>sectionals_ranked!D362</f>
        <v>0</v>
      </c>
    </row>
    <row r="363" spans="1:2" x14ac:dyDescent="0.2">
      <c r="A363" t="s">
        <v>462</v>
      </c>
      <c r="B363">
        <f>sectionals_ranked!D363</f>
        <v>0</v>
      </c>
    </row>
    <row r="364" spans="1:2" x14ac:dyDescent="0.2">
      <c r="A364" t="s">
        <v>463</v>
      </c>
      <c r="B364">
        <f>sectionals_ranked!D364</f>
        <v>0</v>
      </c>
    </row>
    <row r="365" spans="1:2" x14ac:dyDescent="0.2">
      <c r="A365" t="s">
        <v>464</v>
      </c>
      <c r="B365">
        <f>sectionals_ranked!D365</f>
        <v>0</v>
      </c>
    </row>
    <row r="366" spans="1:2" x14ac:dyDescent="0.2">
      <c r="A366" t="s">
        <v>465</v>
      </c>
      <c r="B366">
        <f>sectionals_ranked!D366</f>
        <v>0</v>
      </c>
    </row>
    <row r="367" spans="1:2" x14ac:dyDescent="0.2">
      <c r="A367" t="s">
        <v>466</v>
      </c>
      <c r="B367">
        <f>sectionals_ranked!D367</f>
        <v>0</v>
      </c>
    </row>
    <row r="368" spans="1:2" x14ac:dyDescent="0.2">
      <c r="A368" t="s">
        <v>467</v>
      </c>
      <c r="B368">
        <f>sectionals_ranked!D368</f>
        <v>0</v>
      </c>
    </row>
    <row r="369" spans="1:2" x14ac:dyDescent="0.2">
      <c r="A369" t="s">
        <v>468</v>
      </c>
      <c r="B369">
        <f>sectionals_ranked!D369</f>
        <v>0</v>
      </c>
    </row>
    <row r="370" spans="1:2" x14ac:dyDescent="0.2">
      <c r="A370" t="s">
        <v>469</v>
      </c>
      <c r="B370">
        <f>sectionals_ranked!D370</f>
        <v>0</v>
      </c>
    </row>
    <row r="371" spans="1:2" x14ac:dyDescent="0.2">
      <c r="A371" t="s">
        <v>470</v>
      </c>
      <c r="B371">
        <f>sectionals_ranked!D371</f>
        <v>0</v>
      </c>
    </row>
    <row r="372" spans="1:2" x14ac:dyDescent="0.2">
      <c r="A372" t="s">
        <v>471</v>
      </c>
      <c r="B372">
        <f>sectionals_ranked!D372</f>
        <v>0</v>
      </c>
    </row>
    <row r="373" spans="1:2" x14ac:dyDescent="0.2">
      <c r="A373" t="s">
        <v>472</v>
      </c>
      <c r="B373">
        <f>sectionals_ranked!D373</f>
        <v>0</v>
      </c>
    </row>
    <row r="374" spans="1:2" x14ac:dyDescent="0.2">
      <c r="A374" t="s">
        <v>473</v>
      </c>
      <c r="B374">
        <f>sectionals_ranked!D374</f>
        <v>0</v>
      </c>
    </row>
    <row r="375" spans="1:2" x14ac:dyDescent="0.2">
      <c r="A375" t="s">
        <v>474</v>
      </c>
      <c r="B375">
        <f>sectionals_ranked!D375</f>
        <v>0</v>
      </c>
    </row>
    <row r="376" spans="1:2" x14ac:dyDescent="0.2">
      <c r="A376" t="s">
        <v>92</v>
      </c>
      <c r="B376">
        <f>sectionals_ranked!D376</f>
        <v>0</v>
      </c>
    </row>
    <row r="377" spans="1:2" x14ac:dyDescent="0.2">
      <c r="A377" t="s">
        <v>475</v>
      </c>
      <c r="B377">
        <f>sectionals_ranked!D377</f>
        <v>0</v>
      </c>
    </row>
    <row r="378" spans="1:2" x14ac:dyDescent="0.2">
      <c r="A378" t="s">
        <v>476</v>
      </c>
      <c r="B378">
        <f>sectionals_ranked!D378</f>
        <v>0</v>
      </c>
    </row>
    <row r="379" spans="1:2" x14ac:dyDescent="0.2">
      <c r="A379" t="s">
        <v>96</v>
      </c>
      <c r="B379">
        <f>sectionals_ranked!D379</f>
        <v>0</v>
      </c>
    </row>
    <row r="380" spans="1:2" x14ac:dyDescent="0.2">
      <c r="A380" t="s">
        <v>477</v>
      </c>
      <c r="B380">
        <f>sectionals_ranked!D380</f>
        <v>0</v>
      </c>
    </row>
    <row r="381" spans="1:2" x14ac:dyDescent="0.2">
      <c r="A381" t="s">
        <v>98</v>
      </c>
      <c r="B381">
        <f>sectionals_ranked!D381</f>
        <v>0</v>
      </c>
    </row>
    <row r="382" spans="1:2" x14ac:dyDescent="0.2">
      <c r="A382" t="s">
        <v>478</v>
      </c>
      <c r="B382">
        <f>sectionals_ranked!D382</f>
        <v>0</v>
      </c>
    </row>
    <row r="383" spans="1:2" x14ac:dyDescent="0.2">
      <c r="A383" t="s">
        <v>479</v>
      </c>
      <c r="B383">
        <f>sectionals_ranked!D383</f>
        <v>0</v>
      </c>
    </row>
    <row r="384" spans="1:2" x14ac:dyDescent="0.2">
      <c r="A384" t="s">
        <v>480</v>
      </c>
      <c r="B384">
        <f>sectionals_ranked!D384</f>
        <v>0</v>
      </c>
    </row>
    <row r="385" spans="1:2" x14ac:dyDescent="0.2">
      <c r="A385" t="s">
        <v>481</v>
      </c>
      <c r="B385">
        <f>sectionals_ranked!D385</f>
        <v>0</v>
      </c>
    </row>
    <row r="386" spans="1:2" x14ac:dyDescent="0.2">
      <c r="A386" t="s">
        <v>482</v>
      </c>
      <c r="B386">
        <f>sectionals_ranked!D386</f>
        <v>0</v>
      </c>
    </row>
    <row r="387" spans="1:2" x14ac:dyDescent="0.2">
      <c r="A387" t="s">
        <v>483</v>
      </c>
      <c r="B387">
        <f>sectionals_ranked!D387</f>
        <v>0</v>
      </c>
    </row>
    <row r="388" spans="1:2" x14ac:dyDescent="0.2">
      <c r="A388" t="s">
        <v>484</v>
      </c>
      <c r="B388">
        <f>sectionals_ranked!D388</f>
        <v>0</v>
      </c>
    </row>
    <row r="389" spans="1:2" x14ac:dyDescent="0.2">
      <c r="A389" t="s">
        <v>485</v>
      </c>
      <c r="B389">
        <f>sectionals_ranked!D389</f>
        <v>0</v>
      </c>
    </row>
    <row r="390" spans="1:2" x14ac:dyDescent="0.2">
      <c r="A390" t="s">
        <v>486</v>
      </c>
      <c r="B390">
        <f>sectionals_ranked!D390</f>
        <v>0</v>
      </c>
    </row>
    <row r="391" spans="1:2" x14ac:dyDescent="0.2">
      <c r="A391" t="s">
        <v>487</v>
      </c>
      <c r="B391">
        <f>sectionals_ranked!D391</f>
        <v>0</v>
      </c>
    </row>
    <row r="392" spans="1:2" x14ac:dyDescent="0.2">
      <c r="A392" t="s">
        <v>488</v>
      </c>
      <c r="B392">
        <f>sectionals_ranked!D392</f>
        <v>0</v>
      </c>
    </row>
    <row r="393" spans="1:2" x14ac:dyDescent="0.2">
      <c r="A393" t="s">
        <v>489</v>
      </c>
      <c r="B393">
        <f>sectionals_ranked!D393</f>
        <v>0</v>
      </c>
    </row>
    <row r="394" spans="1:2" x14ac:dyDescent="0.2">
      <c r="A394" t="s">
        <v>490</v>
      </c>
      <c r="B394">
        <f>sectionals_ranked!D394</f>
        <v>0</v>
      </c>
    </row>
    <row r="395" spans="1:2" x14ac:dyDescent="0.2">
      <c r="A395" t="s">
        <v>491</v>
      </c>
      <c r="B395">
        <f>sectionals_ranked!D395</f>
        <v>0</v>
      </c>
    </row>
    <row r="396" spans="1:2" x14ac:dyDescent="0.2">
      <c r="A396" t="s">
        <v>492</v>
      </c>
      <c r="B396">
        <f>sectionals_ranked!D396</f>
        <v>0</v>
      </c>
    </row>
    <row r="397" spans="1:2" x14ac:dyDescent="0.2">
      <c r="A397" t="s">
        <v>493</v>
      </c>
      <c r="B397">
        <f>sectionals_ranked!D397</f>
        <v>0</v>
      </c>
    </row>
    <row r="398" spans="1:2" x14ac:dyDescent="0.2">
      <c r="A398" t="s">
        <v>494</v>
      </c>
      <c r="B398">
        <f>sectionals_ranked!D398</f>
        <v>0</v>
      </c>
    </row>
    <row r="399" spans="1:2" x14ac:dyDescent="0.2">
      <c r="A399" t="s">
        <v>495</v>
      </c>
      <c r="B399">
        <f>sectionals_ranked!D399</f>
        <v>0</v>
      </c>
    </row>
    <row r="400" spans="1:2" x14ac:dyDescent="0.2">
      <c r="A400" t="s">
        <v>496</v>
      </c>
      <c r="B400">
        <f>sectionals_ranked!D400</f>
        <v>0</v>
      </c>
    </row>
    <row r="401" spans="1:2" x14ac:dyDescent="0.2">
      <c r="A401" t="s">
        <v>497</v>
      </c>
      <c r="B401">
        <f>sectionals_ranked!D401</f>
        <v>0</v>
      </c>
    </row>
    <row r="402" spans="1:2" x14ac:dyDescent="0.2">
      <c r="A402" t="s">
        <v>498</v>
      </c>
      <c r="B402">
        <f>sectionals_ranked!D402</f>
        <v>0</v>
      </c>
    </row>
    <row r="403" spans="1:2" x14ac:dyDescent="0.2">
      <c r="A403" t="s">
        <v>499</v>
      </c>
      <c r="B403">
        <f>sectionals_ranked!D403</f>
        <v>0</v>
      </c>
    </row>
    <row r="404" spans="1:2" x14ac:dyDescent="0.2">
      <c r="A404" t="s">
        <v>500</v>
      </c>
      <c r="B404">
        <f>sectionals_ranked!D404</f>
        <v>0</v>
      </c>
    </row>
    <row r="405" spans="1:2" x14ac:dyDescent="0.2">
      <c r="A405" t="s">
        <v>501</v>
      </c>
      <c r="B405">
        <f>sectionals_ranked!D405</f>
        <v>0</v>
      </c>
    </row>
    <row r="406" spans="1:2" x14ac:dyDescent="0.2">
      <c r="A406" t="s">
        <v>502</v>
      </c>
      <c r="B406">
        <f>sectionals_ranked!D406</f>
        <v>0</v>
      </c>
    </row>
    <row r="407" spans="1:2" x14ac:dyDescent="0.2">
      <c r="A407" t="s">
        <v>503</v>
      </c>
      <c r="B407">
        <f>sectionals_ranked!D407</f>
        <v>0</v>
      </c>
    </row>
    <row r="408" spans="1:2" x14ac:dyDescent="0.2">
      <c r="A408" t="s">
        <v>504</v>
      </c>
      <c r="B408">
        <f>sectionals_ranked!D408</f>
        <v>0</v>
      </c>
    </row>
    <row r="409" spans="1:2" x14ac:dyDescent="0.2">
      <c r="A409" t="s">
        <v>505</v>
      </c>
      <c r="B409">
        <f>sectionals_ranked!D409</f>
        <v>0</v>
      </c>
    </row>
    <row r="410" spans="1:2" x14ac:dyDescent="0.2">
      <c r="A410" t="s">
        <v>506</v>
      </c>
      <c r="B410">
        <f>sectionals_ranked!D410</f>
        <v>0</v>
      </c>
    </row>
    <row r="411" spans="1:2" x14ac:dyDescent="0.2">
      <c r="A411" t="s">
        <v>515</v>
      </c>
      <c r="B411">
        <f>sectionals_ranked!D411</f>
        <v>0</v>
      </c>
    </row>
    <row r="412" spans="1:2" x14ac:dyDescent="0.2">
      <c r="A412" t="s">
        <v>515</v>
      </c>
      <c r="B412">
        <f>sectionals_ranked!D412</f>
        <v>0</v>
      </c>
    </row>
    <row r="413" spans="1:2" x14ac:dyDescent="0.2">
      <c r="A413" s="3" t="s">
        <v>507</v>
      </c>
      <c r="B413">
        <f>sectionals_ranked!D413</f>
        <v>0</v>
      </c>
    </row>
    <row r="414" spans="1:2" x14ac:dyDescent="0.2">
      <c r="A414" s="3" t="s">
        <v>508</v>
      </c>
      <c r="B414">
        <f>sectionals_ranked!D414</f>
        <v>0</v>
      </c>
    </row>
    <row r="415" spans="1:2" x14ac:dyDescent="0.2">
      <c r="A415" s="3" t="s">
        <v>509</v>
      </c>
      <c r="B415">
        <f>sectionals_ranked!D415</f>
        <v>0</v>
      </c>
    </row>
    <row r="416" spans="1:2" x14ac:dyDescent="0.2">
      <c r="A416" s="3" t="s">
        <v>510</v>
      </c>
      <c r="B416">
        <f>sectionals_ranked!D416</f>
        <v>0</v>
      </c>
    </row>
    <row r="417" spans="1:2" x14ac:dyDescent="0.2">
      <c r="A417" s="3" t="s">
        <v>511</v>
      </c>
      <c r="B417">
        <f>sectionals_ranked!D417</f>
        <v>0</v>
      </c>
    </row>
    <row r="418" spans="1:2" x14ac:dyDescent="0.2">
      <c r="A418" s="3" t="s">
        <v>512</v>
      </c>
      <c r="B418">
        <f>sectionals_ranked!D418</f>
        <v>0</v>
      </c>
    </row>
    <row r="419" spans="1:2" x14ac:dyDescent="0.2">
      <c r="A419" s="3" t="s">
        <v>513</v>
      </c>
      <c r="B419">
        <f>sectionals_ranked!D419</f>
        <v>0</v>
      </c>
    </row>
    <row r="420" spans="1:2" x14ac:dyDescent="0.2">
      <c r="A420" s="3" t="s">
        <v>514</v>
      </c>
      <c r="B420">
        <f>sectionals_ranked!D420</f>
        <v>0</v>
      </c>
    </row>
    <row r="421" spans="1:2" x14ac:dyDescent="0.2">
      <c r="A421" t="s">
        <v>516</v>
      </c>
      <c r="B421">
        <f>sectionals_ranked!D421</f>
        <v>0</v>
      </c>
    </row>
    <row r="422" spans="1:2" x14ac:dyDescent="0.2">
      <c r="A422" t="s">
        <v>517</v>
      </c>
      <c r="B422">
        <f>sectionals_ranked!D422</f>
        <v>0</v>
      </c>
    </row>
    <row r="423" spans="1:2" x14ac:dyDescent="0.2">
      <c r="A423" t="s">
        <v>518</v>
      </c>
      <c r="B423">
        <f>sectionals_ranked!D423</f>
        <v>0</v>
      </c>
    </row>
    <row r="424" spans="1:2" x14ac:dyDescent="0.2">
      <c r="A424" t="s">
        <v>519</v>
      </c>
      <c r="B424">
        <f>sectionals_ranked!D424</f>
        <v>0</v>
      </c>
    </row>
    <row r="425" spans="1:2" x14ac:dyDescent="0.2">
      <c r="A425" t="s">
        <v>520</v>
      </c>
      <c r="B425">
        <f>sectionals_ranked!D425</f>
        <v>0</v>
      </c>
    </row>
    <row r="426" spans="1:2" x14ac:dyDescent="0.2">
      <c r="A426" t="s">
        <v>521</v>
      </c>
      <c r="B426">
        <f>sectionals_ranked!D426</f>
        <v>0</v>
      </c>
    </row>
    <row r="427" spans="1:2" x14ac:dyDescent="0.2">
      <c r="A427" t="s">
        <v>522</v>
      </c>
      <c r="B427">
        <f>sectionals_ranked!D427</f>
        <v>0</v>
      </c>
    </row>
    <row r="428" spans="1:2" x14ac:dyDescent="0.2">
      <c r="A428" t="s">
        <v>523</v>
      </c>
      <c r="B428">
        <f>sectionals_ranked!D428</f>
        <v>0</v>
      </c>
    </row>
    <row r="429" spans="1:2" x14ac:dyDescent="0.2">
      <c r="A429" t="s">
        <v>524</v>
      </c>
      <c r="B429">
        <f>sectionals_ranked!D429</f>
        <v>0</v>
      </c>
    </row>
    <row r="430" spans="1:2" x14ac:dyDescent="0.2">
      <c r="A430" t="s">
        <v>525</v>
      </c>
      <c r="B430">
        <f>sectionals_ranked!D430</f>
        <v>0</v>
      </c>
    </row>
    <row r="431" spans="1:2" x14ac:dyDescent="0.2">
      <c r="A431" t="s">
        <v>526</v>
      </c>
      <c r="B431">
        <f>sectionals_ranked!D431</f>
        <v>0</v>
      </c>
    </row>
    <row r="432" spans="1:2" x14ac:dyDescent="0.2">
      <c r="A432" t="s">
        <v>527</v>
      </c>
      <c r="B432">
        <f>sectionals_ranked!D432</f>
        <v>0</v>
      </c>
    </row>
    <row r="433" spans="1:2" x14ac:dyDescent="0.2">
      <c r="A433" t="s">
        <v>528</v>
      </c>
      <c r="B433">
        <f>sectionals_ranked!D433</f>
        <v>0</v>
      </c>
    </row>
    <row r="434" spans="1:2" x14ac:dyDescent="0.2">
      <c r="A434" t="s">
        <v>529</v>
      </c>
      <c r="B434">
        <f>sectionals_ranked!D434</f>
        <v>0</v>
      </c>
    </row>
    <row r="435" spans="1:2" x14ac:dyDescent="0.2">
      <c r="A435" t="s">
        <v>109</v>
      </c>
      <c r="B435">
        <f>sectionals_ranked!D435</f>
        <v>0</v>
      </c>
    </row>
    <row r="436" spans="1:2" x14ac:dyDescent="0.2">
      <c r="A436" t="s">
        <v>530</v>
      </c>
      <c r="B436">
        <f>sectionals_ranked!D436</f>
        <v>0</v>
      </c>
    </row>
    <row r="437" spans="1:2" x14ac:dyDescent="0.2">
      <c r="A437" t="s">
        <v>531</v>
      </c>
      <c r="B437">
        <f>sectionals_ranked!D437</f>
        <v>0</v>
      </c>
    </row>
    <row r="438" spans="1:2" x14ac:dyDescent="0.2">
      <c r="A438" t="s">
        <v>532</v>
      </c>
      <c r="B438">
        <f>sectionals_ranked!D438</f>
        <v>0</v>
      </c>
    </row>
    <row r="439" spans="1:2" x14ac:dyDescent="0.2">
      <c r="A439" t="s">
        <v>533</v>
      </c>
      <c r="B439">
        <f>sectionals_ranked!D439</f>
        <v>0</v>
      </c>
    </row>
    <row r="440" spans="1:2" x14ac:dyDescent="0.2">
      <c r="A440" t="s">
        <v>534</v>
      </c>
      <c r="B440">
        <f>sectionals_ranked!D440</f>
        <v>0</v>
      </c>
    </row>
    <row r="441" spans="1:2" x14ac:dyDescent="0.2">
      <c r="A441" t="s">
        <v>535</v>
      </c>
      <c r="B441">
        <f>sectionals_ranked!D441</f>
        <v>0</v>
      </c>
    </row>
    <row r="442" spans="1:2" x14ac:dyDescent="0.2">
      <c r="A442" t="s">
        <v>536</v>
      </c>
      <c r="B442">
        <f>sectionals_ranked!D442</f>
        <v>0</v>
      </c>
    </row>
    <row r="443" spans="1:2" x14ac:dyDescent="0.2">
      <c r="A443" t="s">
        <v>537</v>
      </c>
      <c r="B443">
        <f>sectionals_ranked!D443</f>
        <v>0</v>
      </c>
    </row>
    <row r="444" spans="1:2" x14ac:dyDescent="0.2">
      <c r="A444" t="s">
        <v>114</v>
      </c>
      <c r="B444">
        <f>sectionals_ranked!D444</f>
        <v>0</v>
      </c>
    </row>
    <row r="445" spans="1:2" x14ac:dyDescent="0.2">
      <c r="A445" t="s">
        <v>538</v>
      </c>
      <c r="B445">
        <f>sectionals_ranked!D445</f>
        <v>0</v>
      </c>
    </row>
    <row r="446" spans="1:2" x14ac:dyDescent="0.2">
      <c r="A446" t="s">
        <v>539</v>
      </c>
      <c r="B446">
        <f>sectionals_ranked!D446</f>
        <v>0</v>
      </c>
    </row>
    <row r="447" spans="1:2" x14ac:dyDescent="0.2">
      <c r="A447" t="s">
        <v>540</v>
      </c>
      <c r="B447">
        <f>sectionals_ranked!D447</f>
        <v>0</v>
      </c>
    </row>
    <row r="448" spans="1:2" x14ac:dyDescent="0.2">
      <c r="A448" t="s">
        <v>541</v>
      </c>
      <c r="B448">
        <f>sectionals_ranked!D448</f>
        <v>0</v>
      </c>
    </row>
    <row r="449" spans="1:2" x14ac:dyDescent="0.2">
      <c r="A449" t="s">
        <v>118</v>
      </c>
      <c r="B449">
        <f>sectionals_ranked!D449</f>
        <v>0</v>
      </c>
    </row>
    <row r="450" spans="1:2" x14ac:dyDescent="0.2">
      <c r="A450" t="s">
        <v>542</v>
      </c>
      <c r="B450">
        <f>sectionals_ranked!D450</f>
        <v>0</v>
      </c>
    </row>
    <row r="451" spans="1:2" x14ac:dyDescent="0.2">
      <c r="A451" t="s">
        <v>543</v>
      </c>
      <c r="B451">
        <f>sectionals_ranked!D451</f>
        <v>0</v>
      </c>
    </row>
    <row r="452" spans="1:2" x14ac:dyDescent="0.2">
      <c r="A452" t="s">
        <v>544</v>
      </c>
      <c r="B452">
        <f>sectionals_ranked!D452</f>
        <v>0</v>
      </c>
    </row>
    <row r="453" spans="1:2" x14ac:dyDescent="0.2">
      <c r="A453" t="s">
        <v>545</v>
      </c>
      <c r="B453">
        <f>sectionals_ranked!D453</f>
        <v>0</v>
      </c>
    </row>
    <row r="454" spans="1:2" x14ac:dyDescent="0.2">
      <c r="A454" t="s">
        <v>546</v>
      </c>
      <c r="B454">
        <f>sectionals_ranked!D454</f>
        <v>0</v>
      </c>
    </row>
    <row r="455" spans="1:2" x14ac:dyDescent="0.2">
      <c r="A455" t="s">
        <v>547</v>
      </c>
      <c r="B455">
        <f>sectionals_ranked!D455</f>
        <v>0</v>
      </c>
    </row>
    <row r="456" spans="1:2" x14ac:dyDescent="0.2">
      <c r="A456" t="s">
        <v>548</v>
      </c>
      <c r="B456">
        <f>sectionals_ranked!D456</f>
        <v>0</v>
      </c>
    </row>
    <row r="457" spans="1:2" x14ac:dyDescent="0.2">
      <c r="A457" t="s">
        <v>549</v>
      </c>
      <c r="B457">
        <f>sectionals_ranked!D457</f>
        <v>0</v>
      </c>
    </row>
    <row r="458" spans="1:2" x14ac:dyDescent="0.2">
      <c r="A458" t="s">
        <v>550</v>
      </c>
      <c r="B458">
        <f>sectionals_ranked!D458</f>
        <v>0</v>
      </c>
    </row>
    <row r="459" spans="1:2" x14ac:dyDescent="0.2">
      <c r="A459" t="s">
        <v>551</v>
      </c>
      <c r="B459">
        <f>sectionals_ranked!D459</f>
        <v>0</v>
      </c>
    </row>
    <row r="460" spans="1:2" x14ac:dyDescent="0.2">
      <c r="A460" t="s">
        <v>552</v>
      </c>
      <c r="B460">
        <f>sectionals_ranked!D460</f>
        <v>0</v>
      </c>
    </row>
    <row r="461" spans="1:2" x14ac:dyDescent="0.2">
      <c r="A461" t="s">
        <v>553</v>
      </c>
      <c r="B461">
        <f>sectionals_ranked!D461</f>
        <v>0</v>
      </c>
    </row>
    <row r="462" spans="1:2" x14ac:dyDescent="0.2">
      <c r="A462" t="s">
        <v>554</v>
      </c>
      <c r="B462">
        <f>sectionals_ranked!D462</f>
        <v>0</v>
      </c>
    </row>
    <row r="463" spans="1:2" x14ac:dyDescent="0.2">
      <c r="A463" t="s">
        <v>555</v>
      </c>
      <c r="B463">
        <f>sectionals_ranked!D463</f>
        <v>0</v>
      </c>
    </row>
    <row r="464" spans="1:2" x14ac:dyDescent="0.2">
      <c r="A464" t="s">
        <v>357</v>
      </c>
      <c r="B464">
        <f>sectionals_ranked!D464</f>
        <v>0</v>
      </c>
    </row>
    <row r="465" spans="1:2" x14ac:dyDescent="0.2">
      <c r="A465" t="s">
        <v>44</v>
      </c>
      <c r="B465">
        <f>sectionals_ranked!D465</f>
        <v>0</v>
      </c>
    </row>
    <row r="466" spans="1:2" x14ac:dyDescent="0.2">
      <c r="A466" t="s">
        <v>48</v>
      </c>
      <c r="B466">
        <f>sectionals_ranked!D466</f>
        <v>0</v>
      </c>
    </row>
    <row r="467" spans="1:2" x14ac:dyDescent="0.2">
      <c r="A467" t="s">
        <v>67</v>
      </c>
      <c r="B467">
        <f>sectionals_ranked!D467</f>
        <v>0</v>
      </c>
    </row>
    <row r="468" spans="1:2" x14ac:dyDescent="0.2">
      <c r="A468" t="s">
        <v>93</v>
      </c>
      <c r="B468">
        <f>sectionals_ranked!D468</f>
        <v>0</v>
      </c>
    </row>
    <row r="469" spans="1:2" x14ac:dyDescent="0.2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353"/>
  <sheetViews>
    <sheetView workbookViewId="0">
      <selection activeCell="F26" sqref="F26"/>
    </sheetView>
  </sheetViews>
  <sheetFormatPr baseColWidth="10" defaultColWidth="11" defaultRowHeight="16" x14ac:dyDescent="0.2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">
      <c r="A32" t="s">
        <v>7</v>
      </c>
      <c r="B32" t="s">
        <v>182</v>
      </c>
      <c r="C32" t="s">
        <v>182</v>
      </c>
    </row>
    <row r="33" spans="1:3" x14ac:dyDescent="0.2">
      <c r="A33" t="s">
        <v>7</v>
      </c>
      <c r="B33" t="s">
        <v>183</v>
      </c>
      <c r="C33" t="s">
        <v>183</v>
      </c>
    </row>
    <row r="34" spans="1:3" x14ac:dyDescent="0.2">
      <c r="A34" t="s">
        <v>8</v>
      </c>
      <c r="B34" t="s">
        <v>184</v>
      </c>
      <c r="C34" t="s">
        <v>184</v>
      </c>
    </row>
    <row r="35" spans="1:3" x14ac:dyDescent="0.2">
      <c r="A35" t="s">
        <v>8</v>
      </c>
      <c r="B35" t="s">
        <v>185</v>
      </c>
      <c r="C35" t="s">
        <v>185</v>
      </c>
    </row>
    <row r="36" spans="1:3" x14ac:dyDescent="0.2">
      <c r="A36" t="s">
        <v>8</v>
      </c>
      <c r="B36" t="s">
        <v>186</v>
      </c>
      <c r="C36" t="s">
        <v>186</v>
      </c>
    </row>
    <row r="37" spans="1:3" x14ac:dyDescent="0.2">
      <c r="A37" t="s">
        <v>9</v>
      </c>
      <c r="B37" t="s">
        <v>187</v>
      </c>
      <c r="C37" t="s">
        <v>187</v>
      </c>
    </row>
    <row r="38" spans="1:3" x14ac:dyDescent="0.2">
      <c r="A38" t="s">
        <v>9</v>
      </c>
      <c r="B38" t="s">
        <v>187</v>
      </c>
      <c r="C38" t="s">
        <v>187</v>
      </c>
    </row>
    <row r="39" spans="1:3" x14ac:dyDescent="0.2">
      <c r="A39" t="s">
        <v>9</v>
      </c>
      <c r="B39" t="s">
        <v>188</v>
      </c>
      <c r="C39" t="s">
        <v>188</v>
      </c>
    </row>
    <row r="40" spans="1:3" x14ac:dyDescent="0.2">
      <c r="A40" t="s">
        <v>9</v>
      </c>
      <c r="B40" t="s">
        <v>188</v>
      </c>
      <c r="C40" t="s">
        <v>188</v>
      </c>
    </row>
    <row r="41" spans="1:3" x14ac:dyDescent="0.2">
      <c r="A41" t="s">
        <v>9</v>
      </c>
      <c r="B41" t="s">
        <v>189</v>
      </c>
      <c r="C41" t="s">
        <v>189</v>
      </c>
    </row>
    <row r="42" spans="1:3" x14ac:dyDescent="0.2">
      <c r="A42" t="s">
        <v>9</v>
      </c>
      <c r="B42" t="s">
        <v>189</v>
      </c>
      <c r="C42" t="s">
        <v>189</v>
      </c>
    </row>
    <row r="43" spans="1:3" x14ac:dyDescent="0.2">
      <c r="A43" t="s">
        <v>10</v>
      </c>
      <c r="B43" t="s">
        <v>190</v>
      </c>
      <c r="C43" t="s">
        <v>190</v>
      </c>
    </row>
    <row r="44" spans="1:3" x14ac:dyDescent="0.2">
      <c r="A44" t="s">
        <v>10</v>
      </c>
      <c r="B44" t="s">
        <v>191</v>
      </c>
      <c r="C44" t="s">
        <v>191</v>
      </c>
    </row>
    <row r="45" spans="1:3" x14ac:dyDescent="0.2">
      <c r="A45" t="s">
        <v>10</v>
      </c>
      <c r="B45" t="s">
        <v>192</v>
      </c>
      <c r="C45" t="s">
        <v>192</v>
      </c>
    </row>
    <row r="46" spans="1:3" x14ac:dyDescent="0.2">
      <c r="A46" t="s">
        <v>11</v>
      </c>
      <c r="B46" t="s">
        <v>193</v>
      </c>
      <c r="C46" t="s">
        <v>193</v>
      </c>
    </row>
    <row r="47" spans="1:3" x14ac:dyDescent="0.2">
      <c r="A47" t="s">
        <v>11</v>
      </c>
      <c r="B47" t="s">
        <v>194</v>
      </c>
      <c r="C47" t="s">
        <v>194</v>
      </c>
    </row>
    <row r="48" spans="1:3" x14ac:dyDescent="0.2">
      <c r="A48" t="s">
        <v>11</v>
      </c>
      <c r="B48" t="s">
        <v>195</v>
      </c>
      <c r="C48" t="s">
        <v>195</v>
      </c>
    </row>
    <row r="49" spans="1:3" x14ac:dyDescent="0.2">
      <c r="A49" t="s">
        <v>12</v>
      </c>
      <c r="B49" t="s">
        <v>196</v>
      </c>
      <c r="C49" t="s">
        <v>196</v>
      </c>
    </row>
    <row r="50" spans="1:3" x14ac:dyDescent="0.2">
      <c r="A50" t="s">
        <v>13</v>
      </c>
      <c r="B50" t="s">
        <v>197</v>
      </c>
      <c r="C50" t="s">
        <v>197</v>
      </c>
    </row>
    <row r="51" spans="1:3" x14ac:dyDescent="0.2">
      <c r="A51" t="s">
        <v>13</v>
      </c>
      <c r="B51" t="s">
        <v>198</v>
      </c>
      <c r="C51" t="s">
        <v>198</v>
      </c>
    </row>
    <row r="52" spans="1:3" x14ac:dyDescent="0.2">
      <c r="A52" t="s">
        <v>13</v>
      </c>
      <c r="B52" t="s">
        <v>199</v>
      </c>
      <c r="C52" t="s">
        <v>199</v>
      </c>
    </row>
    <row r="53" spans="1:3" x14ac:dyDescent="0.2">
      <c r="A53" t="s">
        <v>14</v>
      </c>
      <c r="B53" t="s">
        <v>200</v>
      </c>
      <c r="C53" t="s">
        <v>200</v>
      </c>
    </row>
    <row r="54" spans="1:3" x14ac:dyDescent="0.2">
      <c r="A54" t="s">
        <v>14</v>
      </c>
      <c r="B54" t="s">
        <v>201</v>
      </c>
      <c r="C54" t="s">
        <v>201</v>
      </c>
    </row>
    <row r="55" spans="1:3" x14ac:dyDescent="0.2">
      <c r="A55" t="s">
        <v>14</v>
      </c>
      <c r="B55" t="s">
        <v>202</v>
      </c>
      <c r="C55" t="s">
        <v>202</v>
      </c>
    </row>
    <row r="56" spans="1:3" x14ac:dyDescent="0.2">
      <c r="A56" t="s">
        <v>15</v>
      </c>
      <c r="B56" t="s">
        <v>203</v>
      </c>
      <c r="C56" t="s">
        <v>203</v>
      </c>
    </row>
    <row r="57" spans="1:3" x14ac:dyDescent="0.2">
      <c r="A57" t="s">
        <v>15</v>
      </c>
      <c r="B57" t="s">
        <v>204</v>
      </c>
      <c r="C57" t="s">
        <v>204</v>
      </c>
    </row>
    <row r="58" spans="1:3" x14ac:dyDescent="0.2">
      <c r="A58" t="s">
        <v>15</v>
      </c>
      <c r="B58" t="s">
        <v>205</v>
      </c>
      <c r="C58" t="s">
        <v>205</v>
      </c>
    </row>
    <row r="59" spans="1:3" x14ac:dyDescent="0.2">
      <c r="A59" t="s">
        <v>16</v>
      </c>
      <c r="B59" t="s">
        <v>206</v>
      </c>
      <c r="C59" t="s">
        <v>206</v>
      </c>
    </row>
    <row r="60" spans="1:3" x14ac:dyDescent="0.2">
      <c r="A60" t="s">
        <v>17</v>
      </c>
      <c r="B60" t="s">
        <v>207</v>
      </c>
      <c r="C60" t="s">
        <v>207</v>
      </c>
    </row>
    <row r="61" spans="1:3" x14ac:dyDescent="0.2">
      <c r="A61" t="s">
        <v>18</v>
      </c>
      <c r="B61" t="s">
        <v>208</v>
      </c>
      <c r="C61" t="s">
        <v>208</v>
      </c>
    </row>
    <row r="62" spans="1:3" x14ac:dyDescent="0.2">
      <c r="A62" t="s">
        <v>18</v>
      </c>
      <c r="B62" t="s">
        <v>209</v>
      </c>
      <c r="C62" t="s">
        <v>209</v>
      </c>
    </row>
    <row r="63" spans="1:3" x14ac:dyDescent="0.2">
      <c r="A63" t="s">
        <v>19</v>
      </c>
      <c r="B63" t="s">
        <v>210</v>
      </c>
      <c r="C63" t="s">
        <v>210</v>
      </c>
    </row>
    <row r="64" spans="1:3" x14ac:dyDescent="0.2">
      <c r="A64" t="s">
        <v>20</v>
      </c>
      <c r="B64" t="s">
        <v>20</v>
      </c>
      <c r="C64" t="s">
        <v>20</v>
      </c>
    </row>
    <row r="65" spans="1:3" x14ac:dyDescent="0.2">
      <c r="A65" t="s">
        <v>21</v>
      </c>
      <c r="B65" t="s">
        <v>21</v>
      </c>
      <c r="C65" t="s">
        <v>21</v>
      </c>
    </row>
    <row r="66" spans="1:3" x14ac:dyDescent="0.2">
      <c r="A66" t="s">
        <v>22</v>
      </c>
      <c r="B66" t="s">
        <v>211</v>
      </c>
      <c r="C66" t="s">
        <v>211</v>
      </c>
    </row>
    <row r="67" spans="1:3" x14ac:dyDescent="0.2">
      <c r="A67" t="s">
        <v>23</v>
      </c>
      <c r="B67" t="s">
        <v>212</v>
      </c>
      <c r="C67" t="s">
        <v>212</v>
      </c>
    </row>
    <row r="68" spans="1:3" x14ac:dyDescent="0.2">
      <c r="A68" t="s">
        <v>23</v>
      </c>
      <c r="B68" t="s">
        <v>213</v>
      </c>
      <c r="C68" t="s">
        <v>213</v>
      </c>
    </row>
    <row r="69" spans="1:3" x14ac:dyDescent="0.2">
      <c r="A69" t="s">
        <v>23</v>
      </c>
      <c r="B69" t="s">
        <v>214</v>
      </c>
      <c r="C69" t="s">
        <v>214</v>
      </c>
    </row>
    <row r="70" spans="1:3" x14ac:dyDescent="0.2">
      <c r="A70" t="s">
        <v>23</v>
      </c>
      <c r="B70" t="s">
        <v>215</v>
      </c>
      <c r="C70" t="s">
        <v>215</v>
      </c>
    </row>
    <row r="71" spans="1:3" x14ac:dyDescent="0.2">
      <c r="A71" t="s">
        <v>23</v>
      </c>
      <c r="B71" t="s">
        <v>216</v>
      </c>
      <c r="C71" t="s">
        <v>216</v>
      </c>
    </row>
    <row r="72" spans="1:3" x14ac:dyDescent="0.2">
      <c r="A72" t="s">
        <v>23</v>
      </c>
      <c r="B72" t="s">
        <v>217</v>
      </c>
      <c r="C72" t="s">
        <v>217</v>
      </c>
    </row>
    <row r="73" spans="1:3" x14ac:dyDescent="0.2">
      <c r="A73" t="s">
        <v>23</v>
      </c>
      <c r="B73" t="s">
        <v>218</v>
      </c>
      <c r="C73" t="s">
        <v>218</v>
      </c>
    </row>
    <row r="74" spans="1:3" x14ac:dyDescent="0.2">
      <c r="A74" t="s">
        <v>23</v>
      </c>
      <c r="B74" t="s">
        <v>219</v>
      </c>
      <c r="C74" t="s">
        <v>219</v>
      </c>
    </row>
    <row r="75" spans="1:3" x14ac:dyDescent="0.2">
      <c r="A75" t="s">
        <v>23</v>
      </c>
      <c r="B75" t="s">
        <v>220</v>
      </c>
      <c r="C75" t="s">
        <v>220</v>
      </c>
    </row>
    <row r="76" spans="1:3" x14ac:dyDescent="0.2">
      <c r="A76" t="s">
        <v>23</v>
      </c>
      <c r="B76" t="s">
        <v>221</v>
      </c>
      <c r="C76" t="s">
        <v>221</v>
      </c>
    </row>
    <row r="77" spans="1:3" x14ac:dyDescent="0.2">
      <c r="A77" t="s">
        <v>24</v>
      </c>
      <c r="B77" t="s">
        <v>229</v>
      </c>
      <c r="C77" t="s">
        <v>229</v>
      </c>
    </row>
    <row r="78" spans="1:3" x14ac:dyDescent="0.2">
      <c r="A78" t="s">
        <v>24</v>
      </c>
      <c r="B78" t="s">
        <v>237</v>
      </c>
      <c r="C78" t="s">
        <v>237</v>
      </c>
    </row>
    <row r="79" spans="1:3" x14ac:dyDescent="0.2">
      <c r="A79" t="s">
        <v>24</v>
      </c>
      <c r="B79" t="s">
        <v>242</v>
      </c>
      <c r="C79" t="s">
        <v>242</v>
      </c>
    </row>
    <row r="80" spans="1:3" x14ac:dyDescent="0.2">
      <c r="A80" t="s">
        <v>25</v>
      </c>
      <c r="B80" t="s">
        <v>243</v>
      </c>
      <c r="C80" t="s">
        <v>243</v>
      </c>
    </row>
    <row r="81" spans="1:3" x14ac:dyDescent="0.2">
      <c r="A81" t="s">
        <v>25</v>
      </c>
      <c r="B81" t="s">
        <v>244</v>
      </c>
      <c r="C81" t="s">
        <v>244</v>
      </c>
    </row>
    <row r="82" spans="1:3" x14ac:dyDescent="0.2">
      <c r="A82" t="s">
        <v>25</v>
      </c>
      <c r="B82" t="s">
        <v>245</v>
      </c>
      <c r="C82" t="s">
        <v>245</v>
      </c>
    </row>
    <row r="83" spans="1:3" x14ac:dyDescent="0.2">
      <c r="A83" t="s">
        <v>25</v>
      </c>
      <c r="B83" t="s">
        <v>246</v>
      </c>
      <c r="C83" t="s">
        <v>246</v>
      </c>
    </row>
    <row r="84" spans="1:3" x14ac:dyDescent="0.2">
      <c r="A84" t="s">
        <v>25</v>
      </c>
      <c r="B84" t="s">
        <v>247</v>
      </c>
      <c r="C84" t="s">
        <v>247</v>
      </c>
    </row>
    <row r="85" spans="1:3" x14ac:dyDescent="0.2">
      <c r="A85" t="s">
        <v>25</v>
      </c>
      <c r="B85" t="s">
        <v>248</v>
      </c>
      <c r="C85" t="s">
        <v>248</v>
      </c>
    </row>
    <row r="86" spans="1:3" x14ac:dyDescent="0.2">
      <c r="A86" t="s">
        <v>25</v>
      </c>
      <c r="B86" t="s">
        <v>249</v>
      </c>
      <c r="C86" t="s">
        <v>249</v>
      </c>
    </row>
    <row r="87" spans="1:3" x14ac:dyDescent="0.2">
      <c r="A87" t="s">
        <v>25</v>
      </c>
      <c r="B87" t="s">
        <v>250</v>
      </c>
      <c r="C87" t="s">
        <v>250</v>
      </c>
    </row>
    <row r="88" spans="1:3" x14ac:dyDescent="0.2">
      <c r="A88" t="s">
        <v>25</v>
      </c>
      <c r="B88" t="s">
        <v>251</v>
      </c>
      <c r="C88" t="s">
        <v>251</v>
      </c>
    </row>
    <row r="89" spans="1:3" x14ac:dyDescent="0.2">
      <c r="A89" t="s">
        <v>25</v>
      </c>
      <c r="B89" t="s">
        <v>252</v>
      </c>
      <c r="C89" t="s">
        <v>252</v>
      </c>
    </row>
    <row r="90" spans="1:3" x14ac:dyDescent="0.2">
      <c r="A90" t="s">
        <v>26</v>
      </c>
      <c r="B90" t="s">
        <v>260</v>
      </c>
      <c r="C90" t="s">
        <v>260</v>
      </c>
    </row>
    <row r="91" spans="1:3" x14ac:dyDescent="0.2">
      <c r="A91" t="s">
        <v>26</v>
      </c>
      <c r="B91" t="s">
        <v>268</v>
      </c>
      <c r="C91" t="s">
        <v>268</v>
      </c>
    </row>
    <row r="92" spans="1:3" x14ac:dyDescent="0.2">
      <c r="A92" t="s">
        <v>26</v>
      </c>
      <c r="B92" t="s">
        <v>273</v>
      </c>
      <c r="C92" t="s">
        <v>273</v>
      </c>
    </row>
    <row r="93" spans="1:3" x14ac:dyDescent="0.2">
      <c r="A93" t="s">
        <v>27</v>
      </c>
      <c r="B93" t="s">
        <v>281</v>
      </c>
      <c r="C93" t="s">
        <v>281</v>
      </c>
    </row>
    <row r="94" spans="1:3" x14ac:dyDescent="0.2">
      <c r="A94" t="s">
        <v>27</v>
      </c>
      <c r="B94" t="s">
        <v>288</v>
      </c>
      <c r="C94" t="s">
        <v>288</v>
      </c>
    </row>
    <row r="95" spans="1:3" x14ac:dyDescent="0.2">
      <c r="A95" t="s">
        <v>28</v>
      </c>
      <c r="B95" t="s">
        <v>289</v>
      </c>
      <c r="C95" t="s">
        <v>289</v>
      </c>
    </row>
    <row r="96" spans="1:3" x14ac:dyDescent="0.2">
      <c r="A96" t="s">
        <v>28</v>
      </c>
      <c r="B96" t="s">
        <v>290</v>
      </c>
      <c r="C96" t="s">
        <v>290</v>
      </c>
    </row>
    <row r="97" spans="1:3" x14ac:dyDescent="0.2">
      <c r="A97" t="s">
        <v>28</v>
      </c>
      <c r="B97" t="s">
        <v>291</v>
      </c>
      <c r="C97" t="s">
        <v>291</v>
      </c>
    </row>
    <row r="98" spans="1:3" x14ac:dyDescent="0.2">
      <c r="A98" t="s">
        <v>28</v>
      </c>
      <c r="B98" t="s">
        <v>292</v>
      </c>
      <c r="C98" t="s">
        <v>292</v>
      </c>
    </row>
    <row r="99" spans="1:3" x14ac:dyDescent="0.2">
      <c r="A99" t="s">
        <v>28</v>
      </c>
      <c r="B99" t="s">
        <v>293</v>
      </c>
      <c r="C99" t="s">
        <v>293</v>
      </c>
    </row>
    <row r="100" spans="1:3" x14ac:dyDescent="0.2">
      <c r="A100" t="s">
        <v>28</v>
      </c>
      <c r="B100" t="s">
        <v>294</v>
      </c>
      <c r="C100" t="s">
        <v>294</v>
      </c>
    </row>
    <row r="101" spans="1:3" x14ac:dyDescent="0.2">
      <c r="A101" t="s">
        <v>28</v>
      </c>
      <c r="B101" t="s">
        <v>295</v>
      </c>
      <c r="C101" t="s">
        <v>295</v>
      </c>
    </row>
    <row r="102" spans="1:3" x14ac:dyDescent="0.2">
      <c r="A102" t="s">
        <v>28</v>
      </c>
      <c r="B102" t="s">
        <v>296</v>
      </c>
      <c r="C102" t="s">
        <v>296</v>
      </c>
    </row>
    <row r="103" spans="1:3" x14ac:dyDescent="0.2">
      <c r="A103" t="s">
        <v>28</v>
      </c>
      <c r="B103" t="s">
        <v>297</v>
      </c>
      <c r="C103" t="s">
        <v>297</v>
      </c>
    </row>
    <row r="104" spans="1:3" x14ac:dyDescent="0.2">
      <c r="A104" t="s">
        <v>28</v>
      </c>
      <c r="B104" t="s">
        <v>298</v>
      </c>
      <c r="C104" t="s">
        <v>298</v>
      </c>
    </row>
    <row r="105" spans="1:3" x14ac:dyDescent="0.2">
      <c r="A105" t="s">
        <v>28</v>
      </c>
      <c r="B105" t="s">
        <v>299</v>
      </c>
      <c r="C105" t="s">
        <v>299</v>
      </c>
    </row>
    <row r="106" spans="1:3" x14ac:dyDescent="0.2">
      <c r="A106" t="s">
        <v>28</v>
      </c>
      <c r="B106" t="s">
        <v>300</v>
      </c>
      <c r="C106" t="s">
        <v>300</v>
      </c>
    </row>
    <row r="107" spans="1:3" x14ac:dyDescent="0.2">
      <c r="A107" t="s">
        <v>28</v>
      </c>
      <c r="B107" t="s">
        <v>301</v>
      </c>
      <c r="C107" t="s">
        <v>301</v>
      </c>
    </row>
    <row r="108" spans="1:3" x14ac:dyDescent="0.2">
      <c r="A108" t="s">
        <v>28</v>
      </c>
      <c r="B108" t="s">
        <v>302</v>
      </c>
      <c r="C108" t="s">
        <v>302</v>
      </c>
    </row>
    <row r="109" spans="1:3" x14ac:dyDescent="0.2">
      <c r="A109" t="s">
        <v>28</v>
      </c>
      <c r="B109" t="s">
        <v>303</v>
      </c>
      <c r="C109" t="s">
        <v>303</v>
      </c>
    </row>
    <row r="110" spans="1:3" x14ac:dyDescent="0.2">
      <c r="A110" t="s">
        <v>29</v>
      </c>
      <c r="B110" t="s">
        <v>304</v>
      </c>
      <c r="C110" t="s">
        <v>304</v>
      </c>
    </row>
    <row r="111" spans="1:3" x14ac:dyDescent="0.2">
      <c r="A111" t="s">
        <v>29</v>
      </c>
      <c r="B111" t="s">
        <v>305</v>
      </c>
      <c r="C111" t="s">
        <v>305</v>
      </c>
    </row>
    <row r="112" spans="1:3" x14ac:dyDescent="0.2">
      <c r="A112" t="s">
        <v>29</v>
      </c>
      <c r="B112" t="s">
        <v>306</v>
      </c>
      <c r="C112" t="s">
        <v>306</v>
      </c>
    </row>
    <row r="113" spans="1:3" x14ac:dyDescent="0.2">
      <c r="A113" t="s">
        <v>29</v>
      </c>
      <c r="B113" t="s">
        <v>307</v>
      </c>
      <c r="C113" t="s">
        <v>307</v>
      </c>
    </row>
    <row r="114" spans="1:3" x14ac:dyDescent="0.2">
      <c r="A114" t="s">
        <v>30</v>
      </c>
      <c r="B114" t="s">
        <v>308</v>
      </c>
      <c r="C114" t="s">
        <v>308</v>
      </c>
    </row>
    <row r="115" spans="1:3" x14ac:dyDescent="0.2">
      <c r="A115" t="s">
        <v>31</v>
      </c>
      <c r="B115" t="s">
        <v>309</v>
      </c>
      <c r="C115" t="s">
        <v>309</v>
      </c>
    </row>
    <row r="116" spans="1:3" x14ac:dyDescent="0.2">
      <c r="A116" t="s">
        <v>32</v>
      </c>
      <c r="B116" t="s">
        <v>310</v>
      </c>
      <c r="C116" t="s">
        <v>310</v>
      </c>
    </row>
    <row r="117" spans="1:3" x14ac:dyDescent="0.2">
      <c r="A117" t="s">
        <v>33</v>
      </c>
      <c r="B117" t="s">
        <v>311</v>
      </c>
      <c r="C117" t="s">
        <v>311</v>
      </c>
    </row>
    <row r="118" spans="1:3" x14ac:dyDescent="0.2">
      <c r="A118" t="s">
        <v>33</v>
      </c>
      <c r="B118" t="s">
        <v>312</v>
      </c>
      <c r="C118" t="s">
        <v>312</v>
      </c>
    </row>
    <row r="119" spans="1:3" x14ac:dyDescent="0.2">
      <c r="A119" t="s">
        <v>33</v>
      </c>
      <c r="B119" t="s">
        <v>313</v>
      </c>
      <c r="C119" t="s">
        <v>313</v>
      </c>
    </row>
    <row r="120" spans="1:3" x14ac:dyDescent="0.2">
      <c r="A120" t="s">
        <v>33</v>
      </c>
      <c r="B120" t="s">
        <v>314</v>
      </c>
      <c r="C120" t="s">
        <v>314</v>
      </c>
    </row>
    <row r="121" spans="1:3" x14ac:dyDescent="0.2">
      <c r="A121" t="s">
        <v>33</v>
      </c>
      <c r="B121" t="s">
        <v>315</v>
      </c>
      <c r="C121" t="s">
        <v>315</v>
      </c>
    </row>
    <row r="122" spans="1:3" x14ac:dyDescent="0.2">
      <c r="A122" t="s">
        <v>33</v>
      </c>
      <c r="B122" t="s">
        <v>316</v>
      </c>
      <c r="C122" t="s">
        <v>316</v>
      </c>
    </row>
    <row r="123" spans="1:3" x14ac:dyDescent="0.2">
      <c r="A123" t="s">
        <v>33</v>
      </c>
      <c r="B123" t="s">
        <v>317</v>
      </c>
      <c r="C123" t="s">
        <v>317</v>
      </c>
    </row>
    <row r="124" spans="1:3" x14ac:dyDescent="0.2">
      <c r="A124" t="s">
        <v>33</v>
      </c>
      <c r="B124" t="s">
        <v>318</v>
      </c>
      <c r="C124" t="s">
        <v>318</v>
      </c>
    </row>
    <row r="125" spans="1:3" x14ac:dyDescent="0.2">
      <c r="A125" t="s">
        <v>33</v>
      </c>
      <c r="B125" t="s">
        <v>319</v>
      </c>
      <c r="C125" t="s">
        <v>319</v>
      </c>
    </row>
    <row r="126" spans="1:3" x14ac:dyDescent="0.2">
      <c r="A126" t="s">
        <v>33</v>
      </c>
      <c r="B126" t="s">
        <v>320</v>
      </c>
      <c r="C126" t="s">
        <v>320</v>
      </c>
    </row>
    <row r="127" spans="1:3" x14ac:dyDescent="0.2">
      <c r="A127" t="s">
        <v>34</v>
      </c>
      <c r="B127" t="s">
        <v>330</v>
      </c>
      <c r="C127" t="s">
        <v>330</v>
      </c>
    </row>
    <row r="128" spans="1:3" x14ac:dyDescent="0.2">
      <c r="A128" t="s">
        <v>34</v>
      </c>
      <c r="B128" t="s">
        <v>332</v>
      </c>
      <c r="C128" t="s">
        <v>332</v>
      </c>
    </row>
    <row r="129" spans="1:3" x14ac:dyDescent="0.2">
      <c r="A129" t="s">
        <v>35</v>
      </c>
      <c r="B129" t="s">
        <v>341</v>
      </c>
      <c r="C129" t="s">
        <v>341</v>
      </c>
    </row>
    <row r="130" spans="1:3" x14ac:dyDescent="0.2">
      <c r="A130" t="s">
        <v>35</v>
      </c>
      <c r="B130" t="s">
        <v>341</v>
      </c>
      <c r="C130" t="s">
        <v>341</v>
      </c>
    </row>
    <row r="131" spans="1:3" x14ac:dyDescent="0.2">
      <c r="A131" t="s">
        <v>35</v>
      </c>
      <c r="B131" t="s">
        <v>344</v>
      </c>
      <c r="C131" t="s">
        <v>344</v>
      </c>
    </row>
    <row r="132" spans="1:3" x14ac:dyDescent="0.2">
      <c r="A132" t="s">
        <v>35</v>
      </c>
      <c r="B132" t="s">
        <v>344</v>
      </c>
      <c r="C132" t="s">
        <v>344</v>
      </c>
    </row>
    <row r="133" spans="1:3" x14ac:dyDescent="0.2">
      <c r="A133" t="s">
        <v>36</v>
      </c>
      <c r="B133" t="s">
        <v>345</v>
      </c>
      <c r="C133" t="s">
        <v>345</v>
      </c>
    </row>
    <row r="134" spans="1:3" x14ac:dyDescent="0.2">
      <c r="A134" t="s">
        <v>36</v>
      </c>
      <c r="B134" t="s">
        <v>346</v>
      </c>
      <c r="C134" t="s">
        <v>346</v>
      </c>
    </row>
    <row r="135" spans="1:3" x14ac:dyDescent="0.2">
      <c r="A135" t="s">
        <v>36</v>
      </c>
      <c r="B135" t="s">
        <v>347</v>
      </c>
      <c r="C135" t="s">
        <v>347</v>
      </c>
    </row>
    <row r="136" spans="1:3" x14ac:dyDescent="0.2">
      <c r="A136" t="s">
        <v>37</v>
      </c>
      <c r="B136" t="s">
        <v>348</v>
      </c>
      <c r="C136" t="s">
        <v>348</v>
      </c>
    </row>
    <row r="137" spans="1:3" x14ac:dyDescent="0.2">
      <c r="A137" t="s">
        <v>37</v>
      </c>
      <c r="B137" t="s">
        <v>349</v>
      </c>
      <c r="C137" t="s">
        <v>349</v>
      </c>
    </row>
    <row r="138" spans="1:3" x14ac:dyDescent="0.2">
      <c r="A138" t="s">
        <v>38</v>
      </c>
      <c r="B138" t="s">
        <v>350</v>
      </c>
      <c r="C138" t="s">
        <v>350</v>
      </c>
    </row>
    <row r="139" spans="1:3" x14ac:dyDescent="0.2">
      <c r="A139" t="s">
        <v>38</v>
      </c>
      <c r="B139" t="s">
        <v>351</v>
      </c>
      <c r="C139" t="s">
        <v>351</v>
      </c>
    </row>
    <row r="140" spans="1:3" x14ac:dyDescent="0.2">
      <c r="A140" t="s">
        <v>38</v>
      </c>
      <c r="B140" t="s">
        <v>352</v>
      </c>
      <c r="C140" t="s">
        <v>352</v>
      </c>
    </row>
    <row r="141" spans="1:3" x14ac:dyDescent="0.2">
      <c r="A141" t="s">
        <v>39</v>
      </c>
      <c r="B141" t="s">
        <v>353</v>
      </c>
      <c r="C141" t="s">
        <v>353</v>
      </c>
    </row>
    <row r="142" spans="1:3" x14ac:dyDescent="0.2">
      <c r="A142" t="s">
        <v>40</v>
      </c>
      <c r="B142" t="s">
        <v>354</v>
      </c>
      <c r="C142" t="s">
        <v>354</v>
      </c>
    </row>
    <row r="143" spans="1:3" x14ac:dyDescent="0.2">
      <c r="A143" t="s">
        <v>40</v>
      </c>
      <c r="B143" t="s">
        <v>355</v>
      </c>
      <c r="C143" t="s">
        <v>355</v>
      </c>
    </row>
    <row r="144" spans="1:3" x14ac:dyDescent="0.2">
      <c r="A144" t="s">
        <v>41</v>
      </c>
      <c r="B144" t="s">
        <v>356</v>
      </c>
      <c r="C144" t="s">
        <v>356</v>
      </c>
    </row>
    <row r="145" spans="1:3" x14ac:dyDescent="0.2">
      <c r="A145" t="s">
        <v>42</v>
      </c>
      <c r="B145" t="s">
        <v>357</v>
      </c>
      <c r="C145" t="s">
        <v>357</v>
      </c>
    </row>
    <row r="146" spans="1:3" x14ac:dyDescent="0.2">
      <c r="A146" t="s">
        <v>43</v>
      </c>
      <c r="B146" t="s">
        <v>43</v>
      </c>
      <c r="C146" t="s">
        <v>43</v>
      </c>
    </row>
    <row r="147" spans="1:3" x14ac:dyDescent="0.2">
      <c r="A147" t="s">
        <v>44</v>
      </c>
      <c r="B147" t="s">
        <v>44</v>
      </c>
      <c r="C147" t="s">
        <v>44</v>
      </c>
    </row>
    <row r="148" spans="1:3" x14ac:dyDescent="0.2">
      <c r="A148" t="s">
        <v>45</v>
      </c>
      <c r="B148" t="s">
        <v>358</v>
      </c>
      <c r="C148" t="s">
        <v>358</v>
      </c>
    </row>
    <row r="149" spans="1:3" x14ac:dyDescent="0.2">
      <c r="A149" t="s">
        <v>46</v>
      </c>
      <c r="B149" t="s">
        <v>359</v>
      </c>
      <c r="C149" t="s">
        <v>359</v>
      </c>
    </row>
    <row r="150" spans="1:3" x14ac:dyDescent="0.2">
      <c r="A150" t="s">
        <v>47</v>
      </c>
      <c r="B150" t="s">
        <v>47</v>
      </c>
      <c r="C150" t="s">
        <v>47</v>
      </c>
    </row>
    <row r="151" spans="1:3" x14ac:dyDescent="0.2">
      <c r="A151" t="s">
        <v>48</v>
      </c>
      <c r="B151" t="s">
        <v>48</v>
      </c>
      <c r="C151" t="s">
        <v>48</v>
      </c>
    </row>
    <row r="152" spans="1:3" x14ac:dyDescent="0.2">
      <c r="A152" t="s">
        <v>49</v>
      </c>
      <c r="B152" t="s">
        <v>360</v>
      </c>
      <c r="C152" t="s">
        <v>360</v>
      </c>
    </row>
    <row r="153" spans="1:3" x14ac:dyDescent="0.2">
      <c r="A153" t="s">
        <v>49</v>
      </c>
      <c r="B153" t="s">
        <v>361</v>
      </c>
      <c r="C153" t="s">
        <v>361</v>
      </c>
    </row>
    <row r="154" spans="1:3" x14ac:dyDescent="0.2">
      <c r="A154" t="s">
        <v>50</v>
      </c>
      <c r="B154" t="s">
        <v>362</v>
      </c>
      <c r="C154" t="s">
        <v>362</v>
      </c>
    </row>
    <row r="155" spans="1:3" x14ac:dyDescent="0.2">
      <c r="A155" t="s">
        <v>50</v>
      </c>
      <c r="B155" t="s">
        <v>362</v>
      </c>
      <c r="C155" t="s">
        <v>362</v>
      </c>
    </row>
    <row r="156" spans="1:3" x14ac:dyDescent="0.2">
      <c r="A156" t="s">
        <v>51</v>
      </c>
      <c r="B156" t="s">
        <v>363</v>
      </c>
      <c r="C156" t="s">
        <v>363</v>
      </c>
    </row>
    <row r="157" spans="1:3" x14ac:dyDescent="0.2">
      <c r="A157" t="s">
        <v>51</v>
      </c>
      <c r="B157" t="s">
        <v>364</v>
      </c>
      <c r="C157" t="s">
        <v>364</v>
      </c>
    </row>
    <row r="158" spans="1:3" x14ac:dyDescent="0.2">
      <c r="A158" t="s">
        <v>52</v>
      </c>
      <c r="B158" t="s">
        <v>365</v>
      </c>
      <c r="C158" t="s">
        <v>365</v>
      </c>
    </row>
    <row r="159" spans="1:3" x14ac:dyDescent="0.2">
      <c r="A159" t="s">
        <v>53</v>
      </c>
      <c r="B159" t="s">
        <v>366</v>
      </c>
      <c r="C159" t="s">
        <v>366</v>
      </c>
    </row>
    <row r="160" spans="1:3" x14ac:dyDescent="0.2">
      <c r="A160" t="s">
        <v>53</v>
      </c>
      <c r="B160" t="s">
        <v>367</v>
      </c>
      <c r="C160" t="s">
        <v>367</v>
      </c>
    </row>
    <row r="161" spans="1:3" x14ac:dyDescent="0.2">
      <c r="A161" t="s">
        <v>53</v>
      </c>
      <c r="B161" t="s">
        <v>368</v>
      </c>
      <c r="C161" t="s">
        <v>368</v>
      </c>
    </row>
    <row r="162" spans="1:3" x14ac:dyDescent="0.2">
      <c r="A162" t="s">
        <v>53</v>
      </c>
      <c r="B162" t="s">
        <v>369</v>
      </c>
      <c r="C162" t="s">
        <v>369</v>
      </c>
    </row>
    <row r="163" spans="1:3" x14ac:dyDescent="0.2">
      <c r="A163" t="s">
        <v>53</v>
      </c>
      <c r="B163" t="s">
        <v>370</v>
      </c>
      <c r="C163" t="s">
        <v>370</v>
      </c>
    </row>
    <row r="164" spans="1:3" x14ac:dyDescent="0.2">
      <c r="A164" t="s">
        <v>53</v>
      </c>
      <c r="B164" t="s">
        <v>371</v>
      </c>
      <c r="C164" t="s">
        <v>371</v>
      </c>
    </row>
    <row r="165" spans="1:3" x14ac:dyDescent="0.2">
      <c r="A165" t="s">
        <v>53</v>
      </c>
      <c r="B165" t="s">
        <v>372</v>
      </c>
      <c r="C165" t="s">
        <v>372</v>
      </c>
    </row>
    <row r="166" spans="1:3" x14ac:dyDescent="0.2">
      <c r="A166" t="s">
        <v>53</v>
      </c>
      <c r="B166" t="s">
        <v>373</v>
      </c>
      <c r="C166" t="s">
        <v>373</v>
      </c>
    </row>
    <row r="167" spans="1:3" x14ac:dyDescent="0.2">
      <c r="A167" t="s">
        <v>53</v>
      </c>
      <c r="B167" t="s">
        <v>374</v>
      </c>
      <c r="C167" t="s">
        <v>374</v>
      </c>
    </row>
    <row r="168" spans="1:3" x14ac:dyDescent="0.2">
      <c r="A168" t="s">
        <v>53</v>
      </c>
      <c r="B168" t="s">
        <v>375</v>
      </c>
      <c r="C168" t="s">
        <v>375</v>
      </c>
    </row>
    <row r="169" spans="1:3" x14ac:dyDescent="0.2">
      <c r="A169" t="s">
        <v>53</v>
      </c>
      <c r="B169" t="s">
        <v>376</v>
      </c>
      <c r="C169" t="s">
        <v>376</v>
      </c>
    </row>
    <row r="170" spans="1:3" x14ac:dyDescent="0.2">
      <c r="A170" t="s">
        <v>54</v>
      </c>
      <c r="B170" t="s">
        <v>377</v>
      </c>
      <c r="C170" t="s">
        <v>377</v>
      </c>
    </row>
    <row r="171" spans="1:3" x14ac:dyDescent="0.2">
      <c r="A171" t="s">
        <v>54</v>
      </c>
      <c r="B171" t="s">
        <v>378</v>
      </c>
      <c r="C171" t="s">
        <v>378</v>
      </c>
    </row>
    <row r="172" spans="1:3" x14ac:dyDescent="0.2">
      <c r="A172" t="s">
        <v>54</v>
      </c>
      <c r="B172" t="s">
        <v>379</v>
      </c>
      <c r="C172" t="s">
        <v>379</v>
      </c>
    </row>
    <row r="173" spans="1:3" x14ac:dyDescent="0.2">
      <c r="A173" t="s">
        <v>54</v>
      </c>
      <c r="B173" t="s">
        <v>380</v>
      </c>
      <c r="C173" t="s">
        <v>380</v>
      </c>
    </row>
    <row r="174" spans="1:3" x14ac:dyDescent="0.2">
      <c r="A174" t="s">
        <v>54</v>
      </c>
      <c r="B174" t="s">
        <v>381</v>
      </c>
      <c r="C174" t="s">
        <v>381</v>
      </c>
    </row>
    <row r="175" spans="1:3" x14ac:dyDescent="0.2">
      <c r="A175" t="s">
        <v>54</v>
      </c>
      <c r="B175" t="s">
        <v>382</v>
      </c>
      <c r="C175" t="s">
        <v>382</v>
      </c>
    </row>
    <row r="176" spans="1:3" x14ac:dyDescent="0.2">
      <c r="A176" t="s">
        <v>54</v>
      </c>
      <c r="B176" t="s">
        <v>383</v>
      </c>
      <c r="C176" t="s">
        <v>383</v>
      </c>
    </row>
    <row r="177" spans="1:3" x14ac:dyDescent="0.2">
      <c r="A177" t="s">
        <v>55</v>
      </c>
      <c r="B177" t="s">
        <v>384</v>
      </c>
      <c r="C177" t="s">
        <v>384</v>
      </c>
    </row>
    <row r="178" spans="1:3" x14ac:dyDescent="0.2">
      <c r="A178" t="s">
        <v>55</v>
      </c>
      <c r="B178" t="s">
        <v>385</v>
      </c>
      <c r="C178" t="s">
        <v>385</v>
      </c>
    </row>
    <row r="179" spans="1:3" x14ac:dyDescent="0.2">
      <c r="A179" t="s">
        <v>55</v>
      </c>
      <c r="B179" t="s">
        <v>386</v>
      </c>
      <c r="C179" t="s">
        <v>386</v>
      </c>
    </row>
    <row r="180" spans="1:3" x14ac:dyDescent="0.2">
      <c r="A180" t="s">
        <v>55</v>
      </c>
      <c r="B180" t="s">
        <v>387</v>
      </c>
      <c r="C180" t="s">
        <v>387</v>
      </c>
    </row>
    <row r="181" spans="1:3" x14ac:dyDescent="0.2">
      <c r="A181" t="s">
        <v>55</v>
      </c>
      <c r="B181" t="s">
        <v>388</v>
      </c>
      <c r="C181" t="s">
        <v>388</v>
      </c>
    </row>
    <row r="182" spans="1:3" x14ac:dyDescent="0.2">
      <c r="A182" t="s">
        <v>55</v>
      </c>
      <c r="B182" t="s">
        <v>389</v>
      </c>
      <c r="C182" t="s">
        <v>389</v>
      </c>
    </row>
    <row r="183" spans="1:3" x14ac:dyDescent="0.2">
      <c r="A183" t="s">
        <v>55</v>
      </c>
      <c r="B183" t="s">
        <v>390</v>
      </c>
      <c r="C183" t="s">
        <v>390</v>
      </c>
    </row>
    <row r="184" spans="1:3" x14ac:dyDescent="0.2">
      <c r="A184" t="s">
        <v>56</v>
      </c>
      <c r="B184" t="s">
        <v>391</v>
      </c>
      <c r="C184" t="s">
        <v>391</v>
      </c>
    </row>
    <row r="185" spans="1:3" x14ac:dyDescent="0.2">
      <c r="A185" t="s">
        <v>56</v>
      </c>
      <c r="B185" t="s">
        <v>392</v>
      </c>
      <c r="C185" t="s">
        <v>392</v>
      </c>
    </row>
    <row r="186" spans="1:3" x14ac:dyDescent="0.2">
      <c r="A186" t="s">
        <v>56</v>
      </c>
      <c r="B186" t="s">
        <v>393</v>
      </c>
      <c r="C186" t="s">
        <v>393</v>
      </c>
    </row>
    <row r="187" spans="1:3" x14ac:dyDescent="0.2">
      <c r="A187" t="s">
        <v>56</v>
      </c>
      <c r="B187" t="s">
        <v>394</v>
      </c>
      <c r="C187" t="s">
        <v>394</v>
      </c>
    </row>
    <row r="188" spans="1:3" x14ac:dyDescent="0.2">
      <c r="A188" t="s">
        <v>56</v>
      </c>
      <c r="B188" t="s">
        <v>395</v>
      </c>
      <c r="C188" t="s">
        <v>395</v>
      </c>
    </row>
    <row r="189" spans="1:3" x14ac:dyDescent="0.2">
      <c r="A189" t="s">
        <v>56</v>
      </c>
      <c r="B189" t="s">
        <v>396</v>
      </c>
      <c r="C189" t="s">
        <v>396</v>
      </c>
    </row>
    <row r="190" spans="1:3" x14ac:dyDescent="0.2">
      <c r="A190" t="s">
        <v>56</v>
      </c>
      <c r="B190" t="s">
        <v>397</v>
      </c>
      <c r="C190" t="s">
        <v>397</v>
      </c>
    </row>
    <row r="191" spans="1:3" x14ac:dyDescent="0.2">
      <c r="A191" t="s">
        <v>57</v>
      </c>
      <c r="B191" t="s">
        <v>398</v>
      </c>
      <c r="C191" t="s">
        <v>398</v>
      </c>
    </row>
    <row r="192" spans="1:3" x14ac:dyDescent="0.2">
      <c r="A192" t="s">
        <v>58</v>
      </c>
      <c r="B192" t="s">
        <v>399</v>
      </c>
      <c r="C192" t="s">
        <v>399</v>
      </c>
    </row>
    <row r="193" spans="1:3" x14ac:dyDescent="0.2">
      <c r="A193" t="s">
        <v>58</v>
      </c>
      <c r="B193" t="s">
        <v>400</v>
      </c>
      <c r="C193" t="s">
        <v>400</v>
      </c>
    </row>
    <row r="194" spans="1:3" x14ac:dyDescent="0.2">
      <c r="A194" t="s">
        <v>59</v>
      </c>
      <c r="B194" t="s">
        <v>401</v>
      </c>
      <c r="C194" t="s">
        <v>401</v>
      </c>
    </row>
    <row r="195" spans="1:3" x14ac:dyDescent="0.2">
      <c r="A195" t="s">
        <v>60</v>
      </c>
      <c r="B195" t="s">
        <v>402</v>
      </c>
      <c r="C195" t="s">
        <v>402</v>
      </c>
    </row>
    <row r="196" spans="1:3" x14ac:dyDescent="0.2">
      <c r="A196" t="s">
        <v>60</v>
      </c>
      <c r="B196" t="s">
        <v>403</v>
      </c>
      <c r="C196" t="s">
        <v>403</v>
      </c>
    </row>
    <row r="197" spans="1:3" x14ac:dyDescent="0.2">
      <c r="A197" t="s">
        <v>61</v>
      </c>
      <c r="B197" t="s">
        <v>404</v>
      </c>
      <c r="C197" t="s">
        <v>404</v>
      </c>
    </row>
    <row r="198" spans="1:3" x14ac:dyDescent="0.2">
      <c r="A198" t="s">
        <v>61</v>
      </c>
      <c r="B198" t="s">
        <v>405</v>
      </c>
      <c r="C198" t="s">
        <v>405</v>
      </c>
    </row>
    <row r="199" spans="1:3" x14ac:dyDescent="0.2">
      <c r="A199" t="s">
        <v>62</v>
      </c>
      <c r="B199" t="s">
        <v>406</v>
      </c>
      <c r="C199" t="s">
        <v>406</v>
      </c>
    </row>
    <row r="200" spans="1:3" x14ac:dyDescent="0.2">
      <c r="A200" t="s">
        <v>63</v>
      </c>
      <c r="B200" t="s">
        <v>63</v>
      </c>
      <c r="C200" t="s">
        <v>63</v>
      </c>
    </row>
    <row r="201" spans="1:3" x14ac:dyDescent="0.2">
      <c r="A201" t="s">
        <v>64</v>
      </c>
      <c r="B201" t="s">
        <v>407</v>
      </c>
      <c r="C201" t="s">
        <v>407</v>
      </c>
    </row>
    <row r="202" spans="1:3" x14ac:dyDescent="0.2">
      <c r="A202" t="s">
        <v>65</v>
      </c>
      <c r="B202" t="s">
        <v>408</v>
      </c>
      <c r="C202" t="s">
        <v>408</v>
      </c>
    </row>
    <row r="203" spans="1:3" x14ac:dyDescent="0.2">
      <c r="A203" t="s">
        <v>66</v>
      </c>
      <c r="B203" t="s">
        <v>409</v>
      </c>
      <c r="C203" t="s">
        <v>409</v>
      </c>
    </row>
    <row r="204" spans="1:3" x14ac:dyDescent="0.2">
      <c r="A204" t="s">
        <v>67</v>
      </c>
      <c r="B204" t="s">
        <v>67</v>
      </c>
      <c r="C204" t="s">
        <v>67</v>
      </c>
    </row>
    <row r="205" spans="1:3" x14ac:dyDescent="0.2">
      <c r="A205" t="s">
        <v>68</v>
      </c>
      <c r="B205" t="s">
        <v>410</v>
      </c>
      <c r="C205" t="s">
        <v>410</v>
      </c>
    </row>
    <row r="206" spans="1:3" x14ac:dyDescent="0.2">
      <c r="A206" t="s">
        <v>69</v>
      </c>
      <c r="B206" t="s">
        <v>411</v>
      </c>
      <c r="C206" t="s">
        <v>411</v>
      </c>
    </row>
    <row r="207" spans="1:3" x14ac:dyDescent="0.2">
      <c r="A207" t="s">
        <v>69</v>
      </c>
      <c r="B207" t="s">
        <v>412</v>
      </c>
      <c r="C207" t="s">
        <v>412</v>
      </c>
    </row>
    <row r="208" spans="1:3" x14ac:dyDescent="0.2">
      <c r="A208" t="s">
        <v>69</v>
      </c>
      <c r="B208" t="s">
        <v>413</v>
      </c>
      <c r="C208" t="s">
        <v>413</v>
      </c>
    </row>
    <row r="209" spans="1:3" x14ac:dyDescent="0.2">
      <c r="A209" t="s">
        <v>70</v>
      </c>
      <c r="B209" t="s">
        <v>414</v>
      </c>
      <c r="C209" t="s">
        <v>414</v>
      </c>
    </row>
    <row r="210" spans="1:3" x14ac:dyDescent="0.2">
      <c r="A210" t="s">
        <v>70</v>
      </c>
      <c r="B210" t="s">
        <v>415</v>
      </c>
      <c r="C210" t="s">
        <v>415</v>
      </c>
    </row>
    <row r="211" spans="1:3" x14ac:dyDescent="0.2">
      <c r="A211" t="s">
        <v>71</v>
      </c>
      <c r="B211" t="s">
        <v>416</v>
      </c>
      <c r="C211" t="s">
        <v>416</v>
      </c>
    </row>
    <row r="212" spans="1:3" x14ac:dyDescent="0.2">
      <c r="A212" t="s">
        <v>72</v>
      </c>
      <c r="B212" t="s">
        <v>417</v>
      </c>
      <c r="C212" t="s">
        <v>417</v>
      </c>
    </row>
    <row r="213" spans="1:3" x14ac:dyDescent="0.2">
      <c r="A213" t="s">
        <v>73</v>
      </c>
      <c r="B213" t="s">
        <v>418</v>
      </c>
      <c r="C213" t="s">
        <v>418</v>
      </c>
    </row>
    <row r="214" spans="1:3" x14ac:dyDescent="0.2">
      <c r="A214" t="s">
        <v>74</v>
      </c>
      <c r="B214" t="s">
        <v>74</v>
      </c>
      <c r="C214" t="s">
        <v>74</v>
      </c>
    </row>
    <row r="215" spans="1:3" x14ac:dyDescent="0.2">
      <c r="A215" t="s">
        <v>75</v>
      </c>
      <c r="B215" t="s">
        <v>419</v>
      </c>
      <c r="C215" t="s">
        <v>419</v>
      </c>
    </row>
    <row r="216" spans="1:3" x14ac:dyDescent="0.2">
      <c r="A216" t="s">
        <v>76</v>
      </c>
      <c r="B216" t="s">
        <v>420</v>
      </c>
      <c r="C216" t="s">
        <v>420</v>
      </c>
    </row>
    <row r="217" spans="1:3" x14ac:dyDescent="0.2">
      <c r="A217" t="s">
        <v>77</v>
      </c>
      <c r="B217" t="s">
        <v>77</v>
      </c>
      <c r="C217" t="s">
        <v>77</v>
      </c>
    </row>
    <row r="218" spans="1:3" x14ac:dyDescent="0.2">
      <c r="A218" t="s">
        <v>78</v>
      </c>
      <c r="B218" t="s">
        <v>421</v>
      </c>
      <c r="C218" t="s">
        <v>421</v>
      </c>
    </row>
    <row r="219" spans="1:3" x14ac:dyDescent="0.2">
      <c r="A219" t="s">
        <v>79</v>
      </c>
      <c r="B219" t="s">
        <v>422</v>
      </c>
      <c r="C219" t="s">
        <v>422</v>
      </c>
    </row>
    <row r="220" spans="1:3" x14ac:dyDescent="0.2">
      <c r="A220" t="s">
        <v>79</v>
      </c>
      <c r="B220" t="s">
        <v>423</v>
      </c>
      <c r="C220" t="s">
        <v>423</v>
      </c>
    </row>
    <row r="221" spans="1:3" x14ac:dyDescent="0.2">
      <c r="A221" t="s">
        <v>79</v>
      </c>
      <c r="B221" t="s">
        <v>424</v>
      </c>
      <c r="C221" t="s">
        <v>424</v>
      </c>
    </row>
    <row r="222" spans="1:3" x14ac:dyDescent="0.2">
      <c r="A222" t="s">
        <v>79</v>
      </c>
      <c r="B222" t="s">
        <v>425</v>
      </c>
      <c r="C222" t="s">
        <v>425</v>
      </c>
    </row>
    <row r="223" spans="1:3" x14ac:dyDescent="0.2">
      <c r="A223" t="s">
        <v>79</v>
      </c>
      <c r="B223" t="s">
        <v>426</v>
      </c>
      <c r="C223" t="s">
        <v>426</v>
      </c>
    </row>
    <row r="224" spans="1:3" x14ac:dyDescent="0.2">
      <c r="A224" t="s">
        <v>79</v>
      </c>
      <c r="B224" t="s">
        <v>427</v>
      </c>
      <c r="C224" t="s">
        <v>427</v>
      </c>
    </row>
    <row r="225" spans="1:3" x14ac:dyDescent="0.2">
      <c r="A225" t="s">
        <v>79</v>
      </c>
      <c r="B225" t="s">
        <v>428</v>
      </c>
      <c r="C225" t="s">
        <v>428</v>
      </c>
    </row>
    <row r="226" spans="1:3" x14ac:dyDescent="0.2">
      <c r="A226" t="s">
        <v>79</v>
      </c>
      <c r="B226" t="s">
        <v>429</v>
      </c>
      <c r="C226" t="s">
        <v>429</v>
      </c>
    </row>
    <row r="227" spans="1:3" x14ac:dyDescent="0.2">
      <c r="A227" t="s">
        <v>79</v>
      </c>
      <c r="B227" t="s">
        <v>430</v>
      </c>
      <c r="C227" t="s">
        <v>430</v>
      </c>
    </row>
    <row r="228" spans="1:3" x14ac:dyDescent="0.2">
      <c r="A228" t="s">
        <v>79</v>
      </c>
      <c r="B228" t="s">
        <v>431</v>
      </c>
      <c r="C228" t="s">
        <v>431</v>
      </c>
    </row>
    <row r="229" spans="1:3" x14ac:dyDescent="0.2">
      <c r="A229" t="s">
        <v>79</v>
      </c>
      <c r="B229" t="s">
        <v>432</v>
      </c>
      <c r="C229" t="s">
        <v>432</v>
      </c>
    </row>
    <row r="230" spans="1:3" x14ac:dyDescent="0.2">
      <c r="A230" t="s">
        <v>79</v>
      </c>
      <c r="B230" t="s">
        <v>433</v>
      </c>
      <c r="C230" t="s">
        <v>433</v>
      </c>
    </row>
    <row r="231" spans="1:3" x14ac:dyDescent="0.2">
      <c r="A231" t="s">
        <v>79</v>
      </c>
      <c r="B231" t="s">
        <v>434</v>
      </c>
      <c r="C231" t="s">
        <v>434</v>
      </c>
    </row>
    <row r="232" spans="1:3" x14ac:dyDescent="0.2">
      <c r="A232" t="s">
        <v>79</v>
      </c>
      <c r="B232" t="s">
        <v>435</v>
      </c>
      <c r="C232" t="s">
        <v>435</v>
      </c>
    </row>
    <row r="233" spans="1:3" x14ac:dyDescent="0.2">
      <c r="A233" t="s">
        <v>79</v>
      </c>
      <c r="B233" t="s">
        <v>436</v>
      </c>
      <c r="C233" t="s">
        <v>436</v>
      </c>
    </row>
    <row r="234" spans="1:3" x14ac:dyDescent="0.2">
      <c r="A234" t="s">
        <v>80</v>
      </c>
      <c r="B234" t="s">
        <v>437</v>
      </c>
      <c r="C234" t="s">
        <v>437</v>
      </c>
    </row>
    <row r="235" spans="1:3" x14ac:dyDescent="0.2">
      <c r="A235" t="s">
        <v>80</v>
      </c>
      <c r="B235" t="s">
        <v>438</v>
      </c>
      <c r="C235" t="s">
        <v>438</v>
      </c>
    </row>
    <row r="236" spans="1:3" x14ac:dyDescent="0.2">
      <c r="A236" t="s">
        <v>80</v>
      </c>
      <c r="B236" t="s">
        <v>439</v>
      </c>
      <c r="C236" t="s">
        <v>439</v>
      </c>
    </row>
    <row r="237" spans="1:3" x14ac:dyDescent="0.2">
      <c r="A237" t="s">
        <v>80</v>
      </c>
      <c r="B237" t="s">
        <v>440</v>
      </c>
      <c r="C237" t="s">
        <v>440</v>
      </c>
    </row>
    <row r="238" spans="1:3" x14ac:dyDescent="0.2">
      <c r="A238" t="s">
        <v>80</v>
      </c>
      <c r="B238" t="s">
        <v>441</v>
      </c>
      <c r="C238" t="s">
        <v>441</v>
      </c>
    </row>
    <row r="239" spans="1:3" x14ac:dyDescent="0.2">
      <c r="A239" t="s">
        <v>80</v>
      </c>
      <c r="B239" t="s">
        <v>442</v>
      </c>
      <c r="C239" t="s">
        <v>442</v>
      </c>
    </row>
    <row r="240" spans="1:3" x14ac:dyDescent="0.2">
      <c r="A240" t="s">
        <v>80</v>
      </c>
      <c r="B240" t="s">
        <v>443</v>
      </c>
      <c r="C240" t="s">
        <v>443</v>
      </c>
    </row>
    <row r="241" spans="1:3" x14ac:dyDescent="0.2">
      <c r="A241" t="s">
        <v>80</v>
      </c>
      <c r="B241" t="s">
        <v>444</v>
      </c>
      <c r="C241" t="s">
        <v>444</v>
      </c>
    </row>
    <row r="242" spans="1:3" x14ac:dyDescent="0.2">
      <c r="A242" t="s">
        <v>80</v>
      </c>
      <c r="B242" t="s">
        <v>445</v>
      </c>
      <c r="C242" t="s">
        <v>445</v>
      </c>
    </row>
    <row r="243" spans="1:3" x14ac:dyDescent="0.2">
      <c r="A243" t="s">
        <v>80</v>
      </c>
      <c r="B243" t="s">
        <v>446</v>
      </c>
      <c r="C243" t="s">
        <v>446</v>
      </c>
    </row>
    <row r="244" spans="1:3" x14ac:dyDescent="0.2">
      <c r="A244" t="s">
        <v>81</v>
      </c>
      <c r="B244" t="s">
        <v>447</v>
      </c>
      <c r="C244" t="s">
        <v>447</v>
      </c>
    </row>
    <row r="245" spans="1:3" x14ac:dyDescent="0.2">
      <c r="A245" t="s">
        <v>81</v>
      </c>
      <c r="B245" t="s">
        <v>448</v>
      </c>
      <c r="C245" t="s">
        <v>448</v>
      </c>
    </row>
    <row r="246" spans="1:3" x14ac:dyDescent="0.2">
      <c r="A246" t="s">
        <v>81</v>
      </c>
      <c r="B246" t="s">
        <v>449</v>
      </c>
      <c r="C246" t="s">
        <v>449</v>
      </c>
    </row>
    <row r="247" spans="1:3" x14ac:dyDescent="0.2">
      <c r="A247" t="s">
        <v>81</v>
      </c>
      <c r="B247" t="s">
        <v>450</v>
      </c>
      <c r="C247" t="s">
        <v>450</v>
      </c>
    </row>
    <row r="248" spans="1:3" x14ac:dyDescent="0.2">
      <c r="A248" t="s">
        <v>81</v>
      </c>
      <c r="B248" t="s">
        <v>451</v>
      </c>
      <c r="C248" t="s">
        <v>451</v>
      </c>
    </row>
    <row r="249" spans="1:3" x14ac:dyDescent="0.2">
      <c r="A249" t="s">
        <v>81</v>
      </c>
      <c r="B249" t="s">
        <v>452</v>
      </c>
      <c r="C249" t="s">
        <v>452</v>
      </c>
    </row>
    <row r="250" spans="1:3" x14ac:dyDescent="0.2">
      <c r="A250" t="s">
        <v>81</v>
      </c>
      <c r="B250" t="s">
        <v>453</v>
      </c>
      <c r="C250" t="s">
        <v>453</v>
      </c>
    </row>
    <row r="251" spans="1:3" x14ac:dyDescent="0.2">
      <c r="A251" t="s">
        <v>81</v>
      </c>
      <c r="B251" t="s">
        <v>454</v>
      </c>
      <c r="C251" t="s">
        <v>454</v>
      </c>
    </row>
    <row r="252" spans="1:3" x14ac:dyDescent="0.2">
      <c r="A252" t="s">
        <v>81</v>
      </c>
      <c r="B252" t="s">
        <v>455</v>
      </c>
      <c r="C252" t="s">
        <v>455</v>
      </c>
    </row>
    <row r="253" spans="1:3" x14ac:dyDescent="0.2">
      <c r="A253" t="s">
        <v>81</v>
      </c>
      <c r="B253" t="s">
        <v>456</v>
      </c>
      <c r="C253" t="s">
        <v>456</v>
      </c>
    </row>
    <row r="254" spans="1:3" x14ac:dyDescent="0.2">
      <c r="A254" t="s">
        <v>82</v>
      </c>
      <c r="B254" t="s">
        <v>457</v>
      </c>
      <c r="C254" t="s">
        <v>457</v>
      </c>
    </row>
    <row r="255" spans="1:3" x14ac:dyDescent="0.2">
      <c r="A255" t="s">
        <v>82</v>
      </c>
      <c r="B255" t="s">
        <v>458</v>
      </c>
      <c r="C255" t="s">
        <v>458</v>
      </c>
    </row>
    <row r="256" spans="1:3" x14ac:dyDescent="0.2">
      <c r="A256" t="s">
        <v>82</v>
      </c>
      <c r="B256" t="s">
        <v>459</v>
      </c>
      <c r="C256" t="s">
        <v>459</v>
      </c>
    </row>
    <row r="257" spans="1:3" x14ac:dyDescent="0.2">
      <c r="A257" t="s">
        <v>82</v>
      </c>
      <c r="B257" t="s">
        <v>460</v>
      </c>
      <c r="C257" t="s">
        <v>460</v>
      </c>
    </row>
    <row r="258" spans="1:3" x14ac:dyDescent="0.2">
      <c r="A258" t="s">
        <v>83</v>
      </c>
      <c r="B258" t="s">
        <v>461</v>
      </c>
      <c r="C258" t="s">
        <v>461</v>
      </c>
    </row>
    <row r="259" spans="1:3" x14ac:dyDescent="0.2">
      <c r="A259" t="s">
        <v>84</v>
      </c>
      <c r="B259" t="s">
        <v>462</v>
      </c>
      <c r="C259" t="s">
        <v>462</v>
      </c>
    </row>
    <row r="260" spans="1:3" x14ac:dyDescent="0.2">
      <c r="A260" t="s">
        <v>85</v>
      </c>
      <c r="B260" t="s">
        <v>463</v>
      </c>
      <c r="C260" t="s">
        <v>463</v>
      </c>
    </row>
    <row r="261" spans="1:3" x14ac:dyDescent="0.2">
      <c r="A261" t="s">
        <v>86</v>
      </c>
      <c r="B261" t="s">
        <v>464</v>
      </c>
      <c r="C261" t="s">
        <v>464</v>
      </c>
    </row>
    <row r="262" spans="1:3" x14ac:dyDescent="0.2">
      <c r="A262" t="s">
        <v>86</v>
      </c>
      <c r="B262" t="s">
        <v>465</v>
      </c>
      <c r="C262" t="s">
        <v>465</v>
      </c>
    </row>
    <row r="263" spans="1:3" x14ac:dyDescent="0.2">
      <c r="A263" t="s">
        <v>86</v>
      </c>
      <c r="B263" t="s">
        <v>466</v>
      </c>
      <c r="C263" t="s">
        <v>466</v>
      </c>
    </row>
    <row r="264" spans="1:3" x14ac:dyDescent="0.2">
      <c r="A264" t="s">
        <v>86</v>
      </c>
      <c r="B264" t="s">
        <v>467</v>
      </c>
      <c r="C264" t="s">
        <v>467</v>
      </c>
    </row>
    <row r="265" spans="1:3" x14ac:dyDescent="0.2">
      <c r="A265" t="s">
        <v>87</v>
      </c>
      <c r="B265" t="s">
        <v>468</v>
      </c>
      <c r="C265" t="s">
        <v>468</v>
      </c>
    </row>
    <row r="266" spans="1:3" x14ac:dyDescent="0.2">
      <c r="A266" t="s">
        <v>87</v>
      </c>
      <c r="B266" t="s">
        <v>469</v>
      </c>
      <c r="C266" t="s">
        <v>469</v>
      </c>
    </row>
    <row r="267" spans="1:3" x14ac:dyDescent="0.2">
      <c r="A267" t="s">
        <v>88</v>
      </c>
      <c r="B267" t="s">
        <v>470</v>
      </c>
      <c r="C267" t="s">
        <v>470</v>
      </c>
    </row>
    <row r="268" spans="1:3" x14ac:dyDescent="0.2">
      <c r="A268" t="s">
        <v>89</v>
      </c>
      <c r="B268" t="s">
        <v>471</v>
      </c>
      <c r="C268" t="s">
        <v>471</v>
      </c>
    </row>
    <row r="269" spans="1:3" x14ac:dyDescent="0.2">
      <c r="A269" t="s">
        <v>89</v>
      </c>
      <c r="B269" t="s">
        <v>472</v>
      </c>
      <c r="C269" t="s">
        <v>472</v>
      </c>
    </row>
    <row r="270" spans="1:3" x14ac:dyDescent="0.2">
      <c r="A270" t="s">
        <v>90</v>
      </c>
      <c r="B270" t="s">
        <v>473</v>
      </c>
      <c r="C270" t="s">
        <v>473</v>
      </c>
    </row>
    <row r="271" spans="1:3" x14ac:dyDescent="0.2">
      <c r="A271" t="s">
        <v>91</v>
      </c>
      <c r="B271" t="s">
        <v>474</v>
      </c>
      <c r="C271" t="s">
        <v>474</v>
      </c>
    </row>
    <row r="272" spans="1:3" x14ac:dyDescent="0.2">
      <c r="A272" t="s">
        <v>92</v>
      </c>
      <c r="B272" t="s">
        <v>92</v>
      </c>
      <c r="C272" t="s">
        <v>92</v>
      </c>
    </row>
    <row r="273" spans="1:3" x14ac:dyDescent="0.2">
      <c r="A273" t="s">
        <v>93</v>
      </c>
      <c r="B273" t="s">
        <v>93</v>
      </c>
      <c r="C273" t="s">
        <v>93</v>
      </c>
    </row>
    <row r="274" spans="1:3" x14ac:dyDescent="0.2">
      <c r="A274" t="s">
        <v>94</v>
      </c>
      <c r="B274" t="s">
        <v>475</v>
      </c>
      <c r="C274" t="s">
        <v>475</v>
      </c>
    </row>
    <row r="275" spans="1:3" x14ac:dyDescent="0.2">
      <c r="A275" t="s">
        <v>95</v>
      </c>
      <c r="B275" t="s">
        <v>476</v>
      </c>
      <c r="C275" t="s">
        <v>476</v>
      </c>
    </row>
    <row r="276" spans="1:3" x14ac:dyDescent="0.2">
      <c r="A276" t="s">
        <v>96</v>
      </c>
      <c r="B276" t="s">
        <v>96</v>
      </c>
      <c r="C276" t="s">
        <v>96</v>
      </c>
    </row>
    <row r="277" spans="1:3" x14ac:dyDescent="0.2">
      <c r="A277" t="s">
        <v>97</v>
      </c>
      <c r="B277" t="s">
        <v>477</v>
      </c>
      <c r="C277" t="s">
        <v>477</v>
      </c>
    </row>
    <row r="278" spans="1:3" x14ac:dyDescent="0.2">
      <c r="A278" t="s">
        <v>98</v>
      </c>
      <c r="B278" t="s">
        <v>98</v>
      </c>
      <c r="C278" t="s">
        <v>98</v>
      </c>
    </row>
    <row r="279" spans="1:3" x14ac:dyDescent="0.2">
      <c r="A279" t="s">
        <v>99</v>
      </c>
      <c r="B279" t="s">
        <v>478</v>
      </c>
      <c r="C279" t="s">
        <v>478</v>
      </c>
    </row>
    <row r="280" spans="1:3" x14ac:dyDescent="0.2">
      <c r="A280" t="s">
        <v>99</v>
      </c>
      <c r="B280" t="s">
        <v>479</v>
      </c>
      <c r="C280" t="s">
        <v>479</v>
      </c>
    </row>
    <row r="281" spans="1:3" x14ac:dyDescent="0.2">
      <c r="A281" t="s">
        <v>99</v>
      </c>
      <c r="B281" t="s">
        <v>480</v>
      </c>
      <c r="C281" t="s">
        <v>480</v>
      </c>
    </row>
    <row r="282" spans="1:3" x14ac:dyDescent="0.2">
      <c r="A282" t="s">
        <v>99</v>
      </c>
      <c r="B282" t="s">
        <v>481</v>
      </c>
      <c r="C282" t="s">
        <v>481</v>
      </c>
    </row>
    <row r="283" spans="1:3" x14ac:dyDescent="0.2">
      <c r="A283" t="s">
        <v>99</v>
      </c>
      <c r="B283" t="s">
        <v>482</v>
      </c>
      <c r="C283" t="s">
        <v>482</v>
      </c>
    </row>
    <row r="284" spans="1:3" x14ac:dyDescent="0.2">
      <c r="A284" t="s">
        <v>99</v>
      </c>
      <c r="B284" t="s">
        <v>483</v>
      </c>
      <c r="C284" t="s">
        <v>483</v>
      </c>
    </row>
    <row r="285" spans="1:3" x14ac:dyDescent="0.2">
      <c r="A285" t="s">
        <v>99</v>
      </c>
      <c r="B285" t="s">
        <v>484</v>
      </c>
      <c r="C285" t="s">
        <v>484</v>
      </c>
    </row>
    <row r="286" spans="1:3" x14ac:dyDescent="0.2">
      <c r="A286" t="s">
        <v>99</v>
      </c>
      <c r="B286" t="s">
        <v>485</v>
      </c>
      <c r="C286" t="s">
        <v>485</v>
      </c>
    </row>
    <row r="287" spans="1:3" x14ac:dyDescent="0.2">
      <c r="A287" t="s">
        <v>99</v>
      </c>
      <c r="B287" t="s">
        <v>486</v>
      </c>
      <c r="C287" t="s">
        <v>486</v>
      </c>
    </row>
    <row r="288" spans="1:3" x14ac:dyDescent="0.2">
      <c r="A288" t="s">
        <v>99</v>
      </c>
      <c r="B288" t="s">
        <v>487</v>
      </c>
      <c r="C288" t="s">
        <v>487</v>
      </c>
    </row>
    <row r="289" spans="1:3" x14ac:dyDescent="0.2">
      <c r="A289" t="s">
        <v>100</v>
      </c>
      <c r="B289" t="s">
        <v>488</v>
      </c>
      <c r="C289" t="s">
        <v>488</v>
      </c>
    </row>
    <row r="290" spans="1:3" x14ac:dyDescent="0.2">
      <c r="A290" t="s">
        <v>100</v>
      </c>
      <c r="B290" t="s">
        <v>489</v>
      </c>
      <c r="C290" t="s">
        <v>489</v>
      </c>
    </row>
    <row r="291" spans="1:3" x14ac:dyDescent="0.2">
      <c r="A291" t="s">
        <v>100</v>
      </c>
      <c r="B291" t="s">
        <v>490</v>
      </c>
      <c r="C291" t="s">
        <v>490</v>
      </c>
    </row>
    <row r="292" spans="1:3" x14ac:dyDescent="0.2">
      <c r="A292" t="s">
        <v>100</v>
      </c>
      <c r="B292" t="s">
        <v>491</v>
      </c>
      <c r="C292" t="s">
        <v>491</v>
      </c>
    </row>
    <row r="293" spans="1:3" x14ac:dyDescent="0.2">
      <c r="A293" t="s">
        <v>100</v>
      </c>
      <c r="B293" t="s">
        <v>492</v>
      </c>
      <c r="C293" t="s">
        <v>492</v>
      </c>
    </row>
    <row r="294" spans="1:3" x14ac:dyDescent="0.2">
      <c r="A294" t="s">
        <v>100</v>
      </c>
      <c r="B294" t="s">
        <v>493</v>
      </c>
      <c r="C294" t="s">
        <v>493</v>
      </c>
    </row>
    <row r="295" spans="1:3" x14ac:dyDescent="0.2">
      <c r="A295" t="s">
        <v>100</v>
      </c>
      <c r="B295" t="s">
        <v>494</v>
      </c>
      <c r="C295" t="s">
        <v>494</v>
      </c>
    </row>
    <row r="296" spans="1:3" x14ac:dyDescent="0.2">
      <c r="A296" t="s">
        <v>100</v>
      </c>
      <c r="B296" t="s">
        <v>495</v>
      </c>
      <c r="C296" t="s">
        <v>495</v>
      </c>
    </row>
    <row r="297" spans="1:3" x14ac:dyDescent="0.2">
      <c r="A297" t="s">
        <v>100</v>
      </c>
      <c r="B297" t="s">
        <v>496</v>
      </c>
      <c r="C297" t="s">
        <v>496</v>
      </c>
    </row>
    <row r="298" spans="1:3" x14ac:dyDescent="0.2">
      <c r="A298" t="s">
        <v>100</v>
      </c>
      <c r="B298" t="s">
        <v>497</v>
      </c>
      <c r="C298" t="s">
        <v>497</v>
      </c>
    </row>
    <row r="299" spans="1:3" x14ac:dyDescent="0.2">
      <c r="A299" t="s">
        <v>101</v>
      </c>
      <c r="B299" t="s">
        <v>498</v>
      </c>
      <c r="C299" t="s">
        <v>498</v>
      </c>
    </row>
    <row r="300" spans="1:3" x14ac:dyDescent="0.2">
      <c r="A300" t="s">
        <v>101</v>
      </c>
      <c r="B300" t="s">
        <v>499</v>
      </c>
      <c r="C300" t="s">
        <v>499</v>
      </c>
    </row>
    <row r="301" spans="1:3" x14ac:dyDescent="0.2">
      <c r="A301" t="s">
        <v>101</v>
      </c>
      <c r="B301" t="s">
        <v>500</v>
      </c>
      <c r="C301" t="s">
        <v>500</v>
      </c>
    </row>
    <row r="302" spans="1:3" x14ac:dyDescent="0.2">
      <c r="A302" t="s">
        <v>101</v>
      </c>
      <c r="B302" t="s">
        <v>501</v>
      </c>
      <c r="C302" t="s">
        <v>501</v>
      </c>
    </row>
    <row r="303" spans="1:3" x14ac:dyDescent="0.2">
      <c r="A303" t="s">
        <v>101</v>
      </c>
      <c r="B303" t="s">
        <v>502</v>
      </c>
      <c r="C303" t="s">
        <v>502</v>
      </c>
    </row>
    <row r="304" spans="1:3" x14ac:dyDescent="0.2">
      <c r="A304" t="s">
        <v>101</v>
      </c>
      <c r="B304" t="s">
        <v>503</v>
      </c>
      <c r="C304" t="s">
        <v>503</v>
      </c>
    </row>
    <row r="305" spans="1:3" x14ac:dyDescent="0.2">
      <c r="A305" t="s">
        <v>101</v>
      </c>
      <c r="B305" t="s">
        <v>504</v>
      </c>
      <c r="C305" t="s">
        <v>504</v>
      </c>
    </row>
    <row r="306" spans="1:3" x14ac:dyDescent="0.2">
      <c r="A306" t="s">
        <v>101</v>
      </c>
      <c r="B306" t="s">
        <v>505</v>
      </c>
      <c r="C306" t="s">
        <v>505</v>
      </c>
    </row>
    <row r="307" spans="1:3" x14ac:dyDescent="0.2">
      <c r="A307" t="s">
        <v>101</v>
      </c>
      <c r="B307" t="s">
        <v>506</v>
      </c>
      <c r="C307" t="s">
        <v>506</v>
      </c>
    </row>
    <row r="308" spans="1:3" x14ac:dyDescent="0.2">
      <c r="A308" t="s">
        <v>102</v>
      </c>
      <c r="B308" t="s">
        <v>515</v>
      </c>
      <c r="C308" t="s">
        <v>515</v>
      </c>
    </row>
    <row r="309" spans="1:3" x14ac:dyDescent="0.2">
      <c r="A309" t="s">
        <v>102</v>
      </c>
      <c r="B309" t="s">
        <v>515</v>
      </c>
      <c r="C309" t="s">
        <v>515</v>
      </c>
    </row>
    <row r="310" spans="1:3" x14ac:dyDescent="0.2">
      <c r="A310" t="s">
        <v>103</v>
      </c>
      <c r="B310" t="s">
        <v>516</v>
      </c>
      <c r="C310" t="s">
        <v>516</v>
      </c>
    </row>
    <row r="311" spans="1:3" x14ac:dyDescent="0.2">
      <c r="A311" t="s">
        <v>103</v>
      </c>
      <c r="B311" t="s">
        <v>517</v>
      </c>
      <c r="C311" t="s">
        <v>517</v>
      </c>
    </row>
    <row r="312" spans="1:3" x14ac:dyDescent="0.2">
      <c r="A312" t="s">
        <v>104</v>
      </c>
      <c r="B312" t="s">
        <v>518</v>
      </c>
      <c r="C312" t="s">
        <v>518</v>
      </c>
    </row>
    <row r="313" spans="1:3" x14ac:dyDescent="0.2">
      <c r="A313" t="s">
        <v>104</v>
      </c>
      <c r="B313" t="s">
        <v>519</v>
      </c>
      <c r="C313" t="s">
        <v>519</v>
      </c>
    </row>
    <row r="314" spans="1:3" x14ac:dyDescent="0.2">
      <c r="A314" t="s">
        <v>104</v>
      </c>
      <c r="B314" t="s">
        <v>520</v>
      </c>
      <c r="C314" t="s">
        <v>520</v>
      </c>
    </row>
    <row r="315" spans="1:3" x14ac:dyDescent="0.2">
      <c r="A315" t="s">
        <v>104</v>
      </c>
      <c r="B315" t="s">
        <v>521</v>
      </c>
      <c r="C315" t="s">
        <v>521</v>
      </c>
    </row>
    <row r="316" spans="1:3" x14ac:dyDescent="0.2">
      <c r="A316" t="s">
        <v>104</v>
      </c>
      <c r="B316" t="s">
        <v>522</v>
      </c>
      <c r="C316" t="s">
        <v>522</v>
      </c>
    </row>
    <row r="317" spans="1:3" x14ac:dyDescent="0.2">
      <c r="A317" t="s">
        <v>104</v>
      </c>
      <c r="B317" t="s">
        <v>523</v>
      </c>
      <c r="C317" t="s">
        <v>523</v>
      </c>
    </row>
    <row r="318" spans="1:3" x14ac:dyDescent="0.2">
      <c r="A318" t="s">
        <v>105</v>
      </c>
      <c r="B318" t="s">
        <v>524</v>
      </c>
      <c r="C318" t="s">
        <v>524</v>
      </c>
    </row>
    <row r="319" spans="1:3" x14ac:dyDescent="0.2">
      <c r="A319" t="s">
        <v>105</v>
      </c>
      <c r="B319" t="s">
        <v>525</v>
      </c>
      <c r="C319" t="s">
        <v>525</v>
      </c>
    </row>
    <row r="320" spans="1:3" x14ac:dyDescent="0.2">
      <c r="A320" t="s">
        <v>106</v>
      </c>
      <c r="B320" t="s">
        <v>526</v>
      </c>
      <c r="C320" t="s">
        <v>526</v>
      </c>
    </row>
    <row r="321" spans="1:3" x14ac:dyDescent="0.2">
      <c r="A321" t="s">
        <v>106</v>
      </c>
      <c r="B321" t="s">
        <v>527</v>
      </c>
      <c r="C321" t="s">
        <v>527</v>
      </c>
    </row>
    <row r="322" spans="1:3" x14ac:dyDescent="0.2">
      <c r="A322" t="s">
        <v>107</v>
      </c>
      <c r="B322" t="s">
        <v>528</v>
      </c>
      <c r="C322" t="s">
        <v>528</v>
      </c>
    </row>
    <row r="323" spans="1:3" x14ac:dyDescent="0.2">
      <c r="A323" t="s">
        <v>108</v>
      </c>
      <c r="B323" t="s">
        <v>529</v>
      </c>
      <c r="C323" t="s">
        <v>529</v>
      </c>
    </row>
    <row r="324" spans="1:3" x14ac:dyDescent="0.2">
      <c r="A324" t="s">
        <v>109</v>
      </c>
      <c r="B324" t="s">
        <v>109</v>
      </c>
      <c r="C324" t="s">
        <v>109</v>
      </c>
    </row>
    <row r="325" spans="1:3" x14ac:dyDescent="0.2">
      <c r="A325" t="s">
        <v>110</v>
      </c>
      <c r="B325" t="s">
        <v>530</v>
      </c>
      <c r="C325" t="s">
        <v>530</v>
      </c>
    </row>
    <row r="326" spans="1:3" x14ac:dyDescent="0.2">
      <c r="A326" t="s">
        <v>111</v>
      </c>
      <c r="B326" t="s">
        <v>531</v>
      </c>
      <c r="C326" t="s">
        <v>531</v>
      </c>
    </row>
    <row r="327" spans="1:3" x14ac:dyDescent="0.2">
      <c r="A327" t="s">
        <v>111</v>
      </c>
      <c r="B327" t="s">
        <v>532</v>
      </c>
      <c r="C327" t="s">
        <v>532</v>
      </c>
    </row>
    <row r="328" spans="1:3" x14ac:dyDescent="0.2">
      <c r="A328" t="s">
        <v>111</v>
      </c>
      <c r="B328" t="s">
        <v>533</v>
      </c>
      <c r="C328" t="s">
        <v>533</v>
      </c>
    </row>
    <row r="329" spans="1:3" x14ac:dyDescent="0.2">
      <c r="A329" t="s">
        <v>111</v>
      </c>
      <c r="B329" t="s">
        <v>534</v>
      </c>
      <c r="C329" t="s">
        <v>534</v>
      </c>
    </row>
    <row r="330" spans="1:3" x14ac:dyDescent="0.2">
      <c r="A330" t="s">
        <v>111</v>
      </c>
      <c r="B330" t="s">
        <v>535</v>
      </c>
      <c r="C330" t="s">
        <v>535</v>
      </c>
    </row>
    <row r="331" spans="1:3" x14ac:dyDescent="0.2">
      <c r="A331" t="s">
        <v>112</v>
      </c>
      <c r="B331" t="s">
        <v>536</v>
      </c>
      <c r="C331" t="s">
        <v>536</v>
      </c>
    </row>
    <row r="332" spans="1:3" x14ac:dyDescent="0.2">
      <c r="A332" t="s">
        <v>113</v>
      </c>
      <c r="B332" t="s">
        <v>537</v>
      </c>
      <c r="C332" t="s">
        <v>537</v>
      </c>
    </row>
    <row r="333" spans="1:3" x14ac:dyDescent="0.2">
      <c r="A333" t="s">
        <v>114</v>
      </c>
      <c r="B333" t="s">
        <v>114</v>
      </c>
      <c r="C333" t="s">
        <v>114</v>
      </c>
    </row>
    <row r="334" spans="1:3" x14ac:dyDescent="0.2">
      <c r="A334" t="s">
        <v>115</v>
      </c>
      <c r="B334" t="s">
        <v>115</v>
      </c>
      <c r="C334" t="s">
        <v>115</v>
      </c>
    </row>
    <row r="335" spans="1:3" x14ac:dyDescent="0.2">
      <c r="A335" t="s">
        <v>116</v>
      </c>
      <c r="B335" t="s">
        <v>538</v>
      </c>
      <c r="C335" t="s">
        <v>538</v>
      </c>
    </row>
    <row r="336" spans="1:3" x14ac:dyDescent="0.2">
      <c r="A336" t="s">
        <v>116</v>
      </c>
      <c r="B336" t="s">
        <v>539</v>
      </c>
      <c r="C336" t="s">
        <v>539</v>
      </c>
    </row>
    <row r="337" spans="1:3" x14ac:dyDescent="0.2">
      <c r="A337" t="s">
        <v>117</v>
      </c>
      <c r="B337" t="s">
        <v>540</v>
      </c>
      <c r="C337" t="s">
        <v>540</v>
      </c>
    </row>
    <row r="338" spans="1:3" x14ac:dyDescent="0.2">
      <c r="A338" t="s">
        <v>117</v>
      </c>
      <c r="B338" t="s">
        <v>541</v>
      </c>
      <c r="C338" t="s">
        <v>541</v>
      </c>
    </row>
    <row r="339" spans="1:3" x14ac:dyDescent="0.2">
      <c r="A339" t="s">
        <v>118</v>
      </c>
      <c r="B339" t="s">
        <v>118</v>
      </c>
      <c r="C339" t="s">
        <v>118</v>
      </c>
    </row>
    <row r="340" spans="1:3" x14ac:dyDescent="0.2">
      <c r="A340" t="s">
        <v>119</v>
      </c>
      <c r="B340" t="s">
        <v>542</v>
      </c>
      <c r="C340" t="s">
        <v>542</v>
      </c>
    </row>
    <row r="341" spans="1:3" x14ac:dyDescent="0.2">
      <c r="A341" t="s">
        <v>119</v>
      </c>
      <c r="B341" t="s">
        <v>543</v>
      </c>
      <c r="C341" t="s">
        <v>543</v>
      </c>
    </row>
    <row r="342" spans="1:3" x14ac:dyDescent="0.2">
      <c r="A342" t="s">
        <v>119</v>
      </c>
      <c r="B342" t="s">
        <v>544</v>
      </c>
      <c r="C342" t="s">
        <v>544</v>
      </c>
    </row>
    <row r="343" spans="1:3" x14ac:dyDescent="0.2">
      <c r="A343" t="s">
        <v>119</v>
      </c>
      <c r="B343" t="s">
        <v>545</v>
      </c>
      <c r="C343" t="s">
        <v>545</v>
      </c>
    </row>
    <row r="344" spans="1:3" x14ac:dyDescent="0.2">
      <c r="A344" t="s">
        <v>120</v>
      </c>
      <c r="B344" t="s">
        <v>546</v>
      </c>
      <c r="C344" t="s">
        <v>546</v>
      </c>
    </row>
    <row r="345" spans="1:3" x14ac:dyDescent="0.2">
      <c r="A345" t="s">
        <v>120</v>
      </c>
      <c r="B345" t="s">
        <v>547</v>
      </c>
      <c r="C345" t="s">
        <v>547</v>
      </c>
    </row>
    <row r="346" spans="1:3" x14ac:dyDescent="0.2">
      <c r="A346" t="s">
        <v>120</v>
      </c>
      <c r="B346" t="s">
        <v>548</v>
      </c>
      <c r="C346" t="s">
        <v>548</v>
      </c>
    </row>
    <row r="347" spans="1:3" x14ac:dyDescent="0.2">
      <c r="A347" t="s">
        <v>120</v>
      </c>
      <c r="B347" t="s">
        <v>549</v>
      </c>
      <c r="C347" t="s">
        <v>549</v>
      </c>
    </row>
    <row r="348" spans="1:3" x14ac:dyDescent="0.2">
      <c r="A348" t="s">
        <v>120</v>
      </c>
      <c r="B348" t="s">
        <v>550</v>
      </c>
      <c r="C348" t="s">
        <v>550</v>
      </c>
    </row>
    <row r="349" spans="1:3" x14ac:dyDescent="0.2">
      <c r="A349" t="s">
        <v>120</v>
      </c>
      <c r="B349" t="s">
        <v>551</v>
      </c>
      <c r="C349" t="s">
        <v>551</v>
      </c>
    </row>
    <row r="350" spans="1:3" x14ac:dyDescent="0.2">
      <c r="A350" t="s">
        <v>120</v>
      </c>
      <c r="B350" t="s">
        <v>552</v>
      </c>
      <c r="C350" t="s">
        <v>552</v>
      </c>
    </row>
    <row r="351" spans="1:3" x14ac:dyDescent="0.2">
      <c r="A351" t="s">
        <v>120</v>
      </c>
      <c r="B351" t="s">
        <v>553</v>
      </c>
      <c r="C351" t="s">
        <v>553</v>
      </c>
    </row>
    <row r="352" spans="1:3" x14ac:dyDescent="0.2">
      <c r="A352" t="s">
        <v>120</v>
      </c>
      <c r="B352" t="s">
        <v>554</v>
      </c>
      <c r="C352" t="s">
        <v>554</v>
      </c>
    </row>
    <row r="353" spans="1:3" x14ac:dyDescent="0.2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/>
  <dimension ref="A1:F470"/>
  <sheetViews>
    <sheetView workbookViewId="0">
      <selection activeCell="F26" sqref="F26"/>
    </sheetView>
  </sheetViews>
  <sheetFormatPr baseColWidth="10" defaultColWidth="11" defaultRowHeight="16" x14ac:dyDescent="0.2"/>
  <cols>
    <col min="2" max="2" width="13.1640625" bestFit="1" customWidth="1"/>
  </cols>
  <sheetData>
    <row r="1" spans="1:6" x14ac:dyDescent="0.2">
      <c r="A1" s="1" t="s">
        <v>556</v>
      </c>
      <c r="B1" s="1" t="s">
        <v>557</v>
      </c>
      <c r="C1" s="1" t="s">
        <v>558</v>
      </c>
      <c r="F1" s="1" t="s">
        <v>562</v>
      </c>
    </row>
    <row r="2" spans="1:6" ht="15.75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t="15.75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t="15.75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t="15.75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t="15.75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t="15.75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t="15.75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t="15.75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t="15.75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">
      <c r="A11" t="s">
        <v>0</v>
      </c>
      <c r="B11" t="s">
        <v>133</v>
      </c>
      <c r="C11" t="s">
        <v>133</v>
      </c>
      <c r="F11" t="s">
        <v>161</v>
      </c>
    </row>
    <row r="12" spans="1:6" ht="15.75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t="15.75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t="15.75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t="15.75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t="15.75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">
      <c r="A17" t="s">
        <v>0</v>
      </c>
      <c r="B17" t="s">
        <v>139</v>
      </c>
      <c r="C17" t="s">
        <v>139</v>
      </c>
      <c r="F17" t="s">
        <v>167</v>
      </c>
    </row>
    <row r="18" spans="1:6" x14ac:dyDescent="0.2">
      <c r="A18" t="s">
        <v>0</v>
      </c>
      <c r="B18" t="s">
        <v>140</v>
      </c>
      <c r="C18" t="s">
        <v>140</v>
      </c>
      <c r="F18" t="s">
        <v>168</v>
      </c>
    </row>
    <row r="19" spans="1:6" x14ac:dyDescent="0.2">
      <c r="A19" t="s">
        <v>1</v>
      </c>
      <c r="B19" t="s">
        <v>141</v>
      </c>
      <c r="C19" t="s">
        <v>141</v>
      </c>
      <c r="F19" t="s">
        <v>169</v>
      </c>
    </row>
    <row r="20" spans="1:6" x14ac:dyDescent="0.2">
      <c r="A20" t="s">
        <v>1</v>
      </c>
      <c r="B20" t="s">
        <v>142</v>
      </c>
      <c r="C20" t="s">
        <v>142</v>
      </c>
      <c r="F20" t="s">
        <v>170</v>
      </c>
    </row>
    <row r="21" spans="1:6" x14ac:dyDescent="0.2">
      <c r="A21" t="s">
        <v>1</v>
      </c>
      <c r="B21" t="s">
        <v>143</v>
      </c>
      <c r="C21" t="s">
        <v>143</v>
      </c>
      <c r="F21" t="s">
        <v>171</v>
      </c>
    </row>
    <row r="22" spans="1:6" ht="15.75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t="15.75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t="15.75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t="15.75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t="15.75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t="15.75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t="15.75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t="15.75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t="15.75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">
      <c r="A31" t="s">
        <v>2</v>
      </c>
      <c r="B31" t="s">
        <v>153</v>
      </c>
      <c r="C31" t="s">
        <v>153</v>
      </c>
      <c r="F31" t="s">
        <v>181</v>
      </c>
    </row>
    <row r="32" spans="1:6" ht="15.75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t="15.75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t="15.75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t="15.75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t="15.75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">
      <c r="A37" t="s">
        <v>2</v>
      </c>
      <c r="B37" t="s">
        <v>159</v>
      </c>
      <c r="C37" t="s">
        <v>159</v>
      </c>
      <c r="F37" t="s">
        <v>187</v>
      </c>
    </row>
    <row r="38" spans="1:6" x14ac:dyDescent="0.2">
      <c r="A38" t="s">
        <v>2</v>
      </c>
      <c r="B38" t="s">
        <v>160</v>
      </c>
      <c r="C38" t="s">
        <v>160</v>
      </c>
      <c r="F38" t="s">
        <v>187</v>
      </c>
    </row>
    <row r="39" spans="1:6" x14ac:dyDescent="0.2">
      <c r="A39" t="s">
        <v>3</v>
      </c>
      <c r="B39" t="s">
        <v>161</v>
      </c>
      <c r="C39" t="s">
        <v>161</v>
      </c>
      <c r="F39" t="s">
        <v>188</v>
      </c>
    </row>
    <row r="40" spans="1:6" x14ac:dyDescent="0.2">
      <c r="A40" t="s">
        <v>3</v>
      </c>
      <c r="B40" t="s">
        <v>162</v>
      </c>
      <c r="C40" t="s">
        <v>162</v>
      </c>
      <c r="F40" t="s">
        <v>188</v>
      </c>
    </row>
    <row r="41" spans="1:6" x14ac:dyDescent="0.2">
      <c r="A41" t="s">
        <v>3</v>
      </c>
      <c r="B41" t="s">
        <v>163</v>
      </c>
      <c r="C41" t="s">
        <v>163</v>
      </c>
      <c r="F41" t="s">
        <v>189</v>
      </c>
    </row>
    <row r="42" spans="1:6" x14ac:dyDescent="0.2">
      <c r="A42" t="s">
        <v>3</v>
      </c>
      <c r="B42" t="s">
        <v>164</v>
      </c>
      <c r="C42" t="s">
        <v>164</v>
      </c>
      <c r="F42" t="s">
        <v>189</v>
      </c>
    </row>
    <row r="43" spans="1:6" x14ac:dyDescent="0.2">
      <c r="A43" t="s">
        <v>3</v>
      </c>
      <c r="B43" t="s">
        <v>165</v>
      </c>
      <c r="C43" t="s">
        <v>165</v>
      </c>
      <c r="F43" t="s">
        <v>190</v>
      </c>
    </row>
    <row r="44" spans="1:6" x14ac:dyDescent="0.2">
      <c r="A44" t="s">
        <v>3</v>
      </c>
      <c r="B44" t="s">
        <v>166</v>
      </c>
      <c r="C44" t="s">
        <v>166</v>
      </c>
      <c r="F44" t="s">
        <v>191</v>
      </c>
    </row>
    <row r="45" spans="1:6" x14ac:dyDescent="0.2">
      <c r="A45" t="s">
        <v>3</v>
      </c>
      <c r="B45" t="s">
        <v>167</v>
      </c>
      <c r="C45" t="s">
        <v>167</v>
      </c>
      <c r="F45" t="s">
        <v>192</v>
      </c>
    </row>
    <row r="46" spans="1:6" x14ac:dyDescent="0.2">
      <c r="A46" t="s">
        <v>3</v>
      </c>
      <c r="B46" t="s">
        <v>168</v>
      </c>
      <c r="C46" t="s">
        <v>168</v>
      </c>
      <c r="F46" t="s">
        <v>193</v>
      </c>
    </row>
    <row r="47" spans="1:6" x14ac:dyDescent="0.2">
      <c r="A47" t="s">
        <v>3</v>
      </c>
      <c r="B47" t="s">
        <v>169</v>
      </c>
      <c r="C47" t="s">
        <v>169</v>
      </c>
      <c r="F47" t="s">
        <v>194</v>
      </c>
    </row>
    <row r="48" spans="1:6" x14ac:dyDescent="0.2">
      <c r="A48" t="s">
        <v>3</v>
      </c>
      <c r="B48" t="s">
        <v>170</v>
      </c>
      <c r="C48" t="s">
        <v>170</v>
      </c>
      <c r="F48" t="s">
        <v>195</v>
      </c>
    </row>
    <row r="49" spans="1:6" x14ac:dyDescent="0.2">
      <c r="A49" t="s">
        <v>3</v>
      </c>
      <c r="B49" t="s">
        <v>171</v>
      </c>
      <c r="C49" t="s">
        <v>171</v>
      </c>
      <c r="F49" t="s">
        <v>196</v>
      </c>
    </row>
    <row r="50" spans="1:6" x14ac:dyDescent="0.2">
      <c r="A50" t="s">
        <v>4</v>
      </c>
      <c r="B50" t="s">
        <v>172</v>
      </c>
      <c r="C50" t="s">
        <v>172</v>
      </c>
      <c r="F50" t="s">
        <v>197</v>
      </c>
    </row>
    <row r="51" spans="1:6" x14ac:dyDescent="0.2">
      <c r="A51" t="s">
        <v>4</v>
      </c>
      <c r="B51" t="s">
        <v>173</v>
      </c>
      <c r="C51" t="s">
        <v>173</v>
      </c>
      <c r="F51" t="s">
        <v>198</v>
      </c>
    </row>
    <row r="52" spans="1:6" x14ac:dyDescent="0.2">
      <c r="A52" t="s">
        <v>4</v>
      </c>
      <c r="B52" t="s">
        <v>174</v>
      </c>
      <c r="C52" t="s">
        <v>174</v>
      </c>
      <c r="F52" t="s">
        <v>199</v>
      </c>
    </row>
    <row r="53" spans="1:6" x14ac:dyDescent="0.2">
      <c r="A53" t="s">
        <v>5</v>
      </c>
      <c r="B53" t="s">
        <v>175</v>
      </c>
      <c r="C53" t="s">
        <v>175</v>
      </c>
      <c r="F53" t="s">
        <v>200</v>
      </c>
    </row>
    <row r="54" spans="1:6" x14ac:dyDescent="0.2">
      <c r="A54" t="s">
        <v>5</v>
      </c>
      <c r="B54" t="s">
        <v>176</v>
      </c>
      <c r="C54" t="s">
        <v>176</v>
      </c>
      <c r="F54" t="s">
        <v>201</v>
      </c>
    </row>
    <row r="55" spans="1:6" x14ac:dyDescent="0.2">
      <c r="A55" t="s">
        <v>5</v>
      </c>
      <c r="B55" t="s">
        <v>177</v>
      </c>
      <c r="C55" t="s">
        <v>177</v>
      </c>
      <c r="F55" t="s">
        <v>202</v>
      </c>
    </row>
    <row r="56" spans="1:6" x14ac:dyDescent="0.2">
      <c r="A56" t="s">
        <v>6</v>
      </c>
      <c r="B56" t="s">
        <v>178</v>
      </c>
      <c r="C56" t="s">
        <v>178</v>
      </c>
      <c r="F56" t="s">
        <v>203</v>
      </c>
    </row>
    <row r="57" spans="1:6" x14ac:dyDescent="0.2">
      <c r="A57" t="s">
        <v>6</v>
      </c>
      <c r="B57" t="s">
        <v>179</v>
      </c>
      <c r="C57" t="s">
        <v>179</v>
      </c>
      <c r="F57" t="s">
        <v>204</v>
      </c>
    </row>
    <row r="58" spans="1:6" x14ac:dyDescent="0.2">
      <c r="A58" t="s">
        <v>6</v>
      </c>
      <c r="B58" t="s">
        <v>180</v>
      </c>
      <c r="C58" t="s">
        <v>180</v>
      </c>
      <c r="F58" t="s">
        <v>205</v>
      </c>
    </row>
    <row r="59" spans="1:6" x14ac:dyDescent="0.2">
      <c r="A59" t="s">
        <v>7</v>
      </c>
      <c r="B59" t="s">
        <v>181</v>
      </c>
      <c r="C59" t="s">
        <v>181</v>
      </c>
      <c r="F59" t="s">
        <v>206</v>
      </c>
    </row>
    <row r="60" spans="1:6" x14ac:dyDescent="0.2">
      <c r="A60" t="s">
        <v>7</v>
      </c>
      <c r="B60" t="s">
        <v>182</v>
      </c>
      <c r="C60" t="s">
        <v>182</v>
      </c>
      <c r="F60" t="s">
        <v>207</v>
      </c>
    </row>
    <row r="61" spans="1:6" x14ac:dyDescent="0.2">
      <c r="A61" t="s">
        <v>7</v>
      </c>
      <c r="B61" t="s">
        <v>183</v>
      </c>
      <c r="C61" t="s">
        <v>183</v>
      </c>
      <c r="F61" t="s">
        <v>208</v>
      </c>
    </row>
    <row r="62" spans="1:6" x14ac:dyDescent="0.2">
      <c r="A62" t="s">
        <v>8</v>
      </c>
      <c r="B62" t="s">
        <v>184</v>
      </c>
      <c r="C62" t="s">
        <v>184</v>
      </c>
      <c r="F62" t="s">
        <v>209</v>
      </c>
    </row>
    <row r="63" spans="1:6" x14ac:dyDescent="0.2">
      <c r="A63" t="s">
        <v>8</v>
      </c>
      <c r="B63" t="s">
        <v>185</v>
      </c>
      <c r="C63" t="s">
        <v>185</v>
      </c>
      <c r="F63" t="s">
        <v>210</v>
      </c>
    </row>
    <row r="64" spans="1:6" x14ac:dyDescent="0.2">
      <c r="A64" t="s">
        <v>8</v>
      </c>
      <c r="B64" t="s">
        <v>186</v>
      </c>
      <c r="C64" t="s">
        <v>186</v>
      </c>
      <c r="F64" t="s">
        <v>20</v>
      </c>
    </row>
    <row r="65" spans="1:6" x14ac:dyDescent="0.2">
      <c r="A65" t="s">
        <v>9</v>
      </c>
      <c r="B65" t="s">
        <v>187</v>
      </c>
      <c r="C65" t="s">
        <v>187</v>
      </c>
      <c r="F65" t="s">
        <v>21</v>
      </c>
    </row>
    <row r="66" spans="1:6" x14ac:dyDescent="0.2">
      <c r="A66" t="s">
        <v>9</v>
      </c>
      <c r="B66" t="s">
        <v>187</v>
      </c>
      <c r="C66" t="s">
        <v>187</v>
      </c>
      <c r="F66" t="s">
        <v>211</v>
      </c>
    </row>
    <row r="67" spans="1:6" x14ac:dyDescent="0.2">
      <c r="A67" t="s">
        <v>9</v>
      </c>
      <c r="B67" t="s">
        <v>188</v>
      </c>
      <c r="C67" t="s">
        <v>188</v>
      </c>
      <c r="F67" t="s">
        <v>212</v>
      </c>
    </row>
    <row r="68" spans="1:6" x14ac:dyDescent="0.2">
      <c r="A68" t="s">
        <v>9</v>
      </c>
      <c r="B68" t="s">
        <v>188</v>
      </c>
      <c r="C68" t="s">
        <v>188</v>
      </c>
      <c r="F68" t="s">
        <v>213</v>
      </c>
    </row>
    <row r="69" spans="1:6" x14ac:dyDescent="0.2">
      <c r="A69" t="s">
        <v>9</v>
      </c>
      <c r="B69" t="s">
        <v>189</v>
      </c>
      <c r="C69" t="s">
        <v>189</v>
      </c>
      <c r="F69" t="s">
        <v>214</v>
      </c>
    </row>
    <row r="70" spans="1:6" x14ac:dyDescent="0.2">
      <c r="A70" t="s">
        <v>9</v>
      </c>
      <c r="B70" t="s">
        <v>189</v>
      </c>
      <c r="C70" t="s">
        <v>189</v>
      </c>
      <c r="F70" t="s">
        <v>215</v>
      </c>
    </row>
    <row r="71" spans="1:6" x14ac:dyDescent="0.2">
      <c r="A71" t="s">
        <v>10</v>
      </c>
      <c r="B71" t="s">
        <v>190</v>
      </c>
      <c r="C71" t="s">
        <v>190</v>
      </c>
      <c r="F71" t="s">
        <v>216</v>
      </c>
    </row>
    <row r="72" spans="1:6" x14ac:dyDescent="0.2">
      <c r="A72" t="s">
        <v>10</v>
      </c>
      <c r="B72" t="s">
        <v>191</v>
      </c>
      <c r="C72" t="s">
        <v>191</v>
      </c>
      <c r="F72" t="s">
        <v>217</v>
      </c>
    </row>
    <row r="73" spans="1:6" x14ac:dyDescent="0.2">
      <c r="A73" t="s">
        <v>10</v>
      </c>
      <c r="B73" t="s">
        <v>192</v>
      </c>
      <c r="C73" t="s">
        <v>192</v>
      </c>
      <c r="F73" t="s">
        <v>218</v>
      </c>
    </row>
    <row r="74" spans="1:6" x14ac:dyDescent="0.2">
      <c r="A74" t="s">
        <v>11</v>
      </c>
      <c r="B74" t="s">
        <v>193</v>
      </c>
      <c r="C74" t="s">
        <v>193</v>
      </c>
      <c r="F74" t="s">
        <v>219</v>
      </c>
    </row>
    <row r="75" spans="1:6" x14ac:dyDescent="0.2">
      <c r="A75" t="s">
        <v>11</v>
      </c>
      <c r="B75" t="s">
        <v>194</v>
      </c>
      <c r="C75" t="s">
        <v>194</v>
      </c>
      <c r="F75" t="s">
        <v>220</v>
      </c>
    </row>
    <row r="76" spans="1:6" x14ac:dyDescent="0.2">
      <c r="A76" t="s">
        <v>11</v>
      </c>
      <c r="B76" t="s">
        <v>195</v>
      </c>
      <c r="C76" t="s">
        <v>195</v>
      </c>
      <c r="F76" t="s">
        <v>221</v>
      </c>
    </row>
    <row r="77" spans="1:6" x14ac:dyDescent="0.2">
      <c r="A77" t="s">
        <v>12</v>
      </c>
      <c r="B77" t="s">
        <v>196</v>
      </c>
      <c r="C77" t="s">
        <v>196</v>
      </c>
      <c r="F77" t="s">
        <v>229</v>
      </c>
    </row>
    <row r="78" spans="1:6" x14ac:dyDescent="0.2">
      <c r="A78" t="s">
        <v>13</v>
      </c>
      <c r="B78" t="s">
        <v>197</v>
      </c>
      <c r="C78" t="s">
        <v>197</v>
      </c>
      <c r="F78" t="s">
        <v>237</v>
      </c>
    </row>
    <row r="79" spans="1:6" x14ac:dyDescent="0.2">
      <c r="A79" t="s">
        <v>13</v>
      </c>
      <c r="B79" t="s">
        <v>198</v>
      </c>
      <c r="C79" t="s">
        <v>198</v>
      </c>
      <c r="F79" t="s">
        <v>242</v>
      </c>
    </row>
    <row r="80" spans="1:6" x14ac:dyDescent="0.2">
      <c r="A80" t="s">
        <v>13</v>
      </c>
      <c r="B80" t="s">
        <v>199</v>
      </c>
      <c r="C80" t="s">
        <v>199</v>
      </c>
      <c r="F80" t="s">
        <v>243</v>
      </c>
    </row>
    <row r="81" spans="1:6" x14ac:dyDescent="0.2">
      <c r="A81" t="s">
        <v>14</v>
      </c>
      <c r="B81" t="s">
        <v>200</v>
      </c>
      <c r="C81" t="s">
        <v>200</v>
      </c>
      <c r="F81" t="s">
        <v>244</v>
      </c>
    </row>
    <row r="82" spans="1:6" x14ac:dyDescent="0.2">
      <c r="A82" t="s">
        <v>14</v>
      </c>
      <c r="B82" t="s">
        <v>201</v>
      </c>
      <c r="C82" t="s">
        <v>201</v>
      </c>
      <c r="F82" t="s">
        <v>245</v>
      </c>
    </row>
    <row r="83" spans="1:6" x14ac:dyDescent="0.2">
      <c r="A83" t="s">
        <v>14</v>
      </c>
      <c r="B83" t="s">
        <v>202</v>
      </c>
      <c r="C83" t="s">
        <v>202</v>
      </c>
      <c r="F83" t="s">
        <v>246</v>
      </c>
    </row>
    <row r="84" spans="1:6" x14ac:dyDescent="0.2">
      <c r="A84" t="s">
        <v>15</v>
      </c>
      <c r="B84" t="s">
        <v>203</v>
      </c>
      <c r="C84" t="s">
        <v>203</v>
      </c>
      <c r="F84" t="s">
        <v>247</v>
      </c>
    </row>
    <row r="85" spans="1:6" x14ac:dyDescent="0.2">
      <c r="A85" t="s">
        <v>15</v>
      </c>
      <c r="B85" t="s">
        <v>204</v>
      </c>
      <c r="C85" t="s">
        <v>204</v>
      </c>
      <c r="F85" t="s">
        <v>248</v>
      </c>
    </row>
    <row r="86" spans="1:6" x14ac:dyDescent="0.2">
      <c r="A86" t="s">
        <v>15</v>
      </c>
      <c r="B86" t="s">
        <v>205</v>
      </c>
      <c r="C86" t="s">
        <v>205</v>
      </c>
      <c r="F86" t="s">
        <v>249</v>
      </c>
    </row>
    <row r="87" spans="1:6" x14ac:dyDescent="0.2">
      <c r="A87" t="s">
        <v>16</v>
      </c>
      <c r="B87" t="s">
        <v>206</v>
      </c>
      <c r="C87" t="s">
        <v>206</v>
      </c>
      <c r="F87" t="s">
        <v>250</v>
      </c>
    </row>
    <row r="88" spans="1:6" x14ac:dyDescent="0.2">
      <c r="A88" t="s">
        <v>17</v>
      </c>
      <c r="B88" t="s">
        <v>207</v>
      </c>
      <c r="C88" t="s">
        <v>207</v>
      </c>
      <c r="F88" t="s">
        <v>251</v>
      </c>
    </row>
    <row r="89" spans="1:6" x14ac:dyDescent="0.2">
      <c r="A89" t="s">
        <v>18</v>
      </c>
      <c r="B89" t="s">
        <v>208</v>
      </c>
      <c r="C89" t="s">
        <v>208</v>
      </c>
      <c r="F89" t="s">
        <v>252</v>
      </c>
    </row>
    <row r="90" spans="1:6" x14ac:dyDescent="0.2">
      <c r="A90" t="s">
        <v>18</v>
      </c>
      <c r="B90" t="s">
        <v>209</v>
      </c>
      <c r="C90" t="s">
        <v>209</v>
      </c>
      <c r="F90" t="s">
        <v>260</v>
      </c>
    </row>
    <row r="91" spans="1:6" x14ac:dyDescent="0.2">
      <c r="A91" t="s">
        <v>19</v>
      </c>
      <c r="B91" t="s">
        <v>210</v>
      </c>
      <c r="C91" t="s">
        <v>210</v>
      </c>
      <c r="F91" t="s">
        <v>268</v>
      </c>
    </row>
    <row r="92" spans="1:6" x14ac:dyDescent="0.2">
      <c r="A92" t="s">
        <v>20</v>
      </c>
      <c r="B92" t="s">
        <v>20</v>
      </c>
      <c r="C92" t="s">
        <v>20</v>
      </c>
      <c r="F92" t="s">
        <v>273</v>
      </c>
    </row>
    <row r="93" spans="1:6" x14ac:dyDescent="0.2">
      <c r="A93" t="s">
        <v>21</v>
      </c>
      <c r="B93" t="s">
        <v>21</v>
      </c>
      <c r="C93" t="s">
        <v>21</v>
      </c>
      <c r="F93" t="s">
        <v>281</v>
      </c>
    </row>
    <row r="94" spans="1:6" x14ac:dyDescent="0.2">
      <c r="A94" t="s">
        <v>22</v>
      </c>
      <c r="B94" t="s">
        <v>211</v>
      </c>
      <c r="C94" t="s">
        <v>211</v>
      </c>
      <c r="F94" t="s">
        <v>288</v>
      </c>
    </row>
    <row r="95" spans="1:6" x14ac:dyDescent="0.2">
      <c r="A95" t="s">
        <v>23</v>
      </c>
      <c r="B95" t="s">
        <v>212</v>
      </c>
      <c r="C95" t="s">
        <v>212</v>
      </c>
      <c r="F95" t="s">
        <v>297</v>
      </c>
    </row>
    <row r="96" spans="1:6" x14ac:dyDescent="0.2">
      <c r="A96" t="s">
        <v>23</v>
      </c>
      <c r="B96" t="s">
        <v>213</v>
      </c>
      <c r="C96" t="s">
        <v>213</v>
      </c>
      <c r="F96" t="s">
        <v>303</v>
      </c>
    </row>
    <row r="97" spans="1:6" x14ac:dyDescent="0.2">
      <c r="A97" t="s">
        <v>23</v>
      </c>
      <c r="B97" t="s">
        <v>214</v>
      </c>
      <c r="C97" t="s">
        <v>214</v>
      </c>
      <c r="F97" t="s">
        <v>289</v>
      </c>
    </row>
    <row r="98" spans="1:6" x14ac:dyDescent="0.2">
      <c r="A98" t="s">
        <v>23</v>
      </c>
      <c r="B98" t="s">
        <v>215</v>
      </c>
      <c r="C98" t="s">
        <v>215</v>
      </c>
      <c r="F98" t="s">
        <v>290</v>
      </c>
    </row>
    <row r="99" spans="1:6" x14ac:dyDescent="0.2">
      <c r="A99" t="s">
        <v>23</v>
      </c>
      <c r="B99" t="s">
        <v>216</v>
      </c>
      <c r="C99" t="s">
        <v>216</v>
      </c>
      <c r="F99" t="s">
        <v>291</v>
      </c>
    </row>
    <row r="100" spans="1:6" x14ac:dyDescent="0.2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">
      <c r="A104" t="s">
        <v>23</v>
      </c>
      <c r="B104" t="s">
        <v>221</v>
      </c>
      <c r="C104" t="s">
        <v>221</v>
      </c>
      <c r="F104" t="s">
        <v>296</v>
      </c>
    </row>
    <row r="105" spans="1:6" ht="15.75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t="15.75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t="15.75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t="15.75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t="15.75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t="15.75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t="15.75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">
      <c r="A112" t="s">
        <v>24</v>
      </c>
      <c r="B112" t="s">
        <v>229</v>
      </c>
      <c r="C112" t="s">
        <v>229</v>
      </c>
      <c r="F112" t="s">
        <v>306</v>
      </c>
    </row>
    <row r="113" spans="1:6" ht="15.75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t="15.75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t="15.75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t="15.75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t="15.75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t="15.75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t="15.75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">
      <c r="A120" t="s">
        <v>24</v>
      </c>
      <c r="B120" t="s">
        <v>237</v>
      </c>
      <c r="C120" t="s">
        <v>237</v>
      </c>
      <c r="F120" t="s">
        <v>314</v>
      </c>
    </row>
    <row r="121" spans="1:6" ht="15.75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t="15.75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t="15.75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t="15.75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">
      <c r="A135" t="s">
        <v>25</v>
      </c>
      <c r="B135" t="s">
        <v>252</v>
      </c>
      <c r="C135" t="s">
        <v>252</v>
      </c>
      <c r="F135" t="s">
        <v>347</v>
      </c>
    </row>
    <row r="136" spans="1:6" ht="15.75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t="15.75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t="15.75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t="15.75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t="15.75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t="15.75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t="15.75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">
      <c r="A143" t="s">
        <v>26</v>
      </c>
      <c r="B143" t="s">
        <v>260</v>
      </c>
      <c r="C143" t="s">
        <v>260</v>
      </c>
      <c r="F143" t="s">
        <v>355</v>
      </c>
    </row>
    <row r="144" spans="1:6" ht="15.75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t="15.75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t="15.75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t="15.75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t="15.75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t="15.75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t="15.75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">
      <c r="A151" t="s">
        <v>26</v>
      </c>
      <c r="B151" t="s">
        <v>268</v>
      </c>
      <c r="C151" t="s">
        <v>268</v>
      </c>
      <c r="F151" t="s">
        <v>362</v>
      </c>
    </row>
    <row r="152" spans="1:6" ht="15.75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t="15.75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t="15.75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t="15.75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">
      <c r="A156" t="s">
        <v>26</v>
      </c>
      <c r="B156" t="s">
        <v>273</v>
      </c>
      <c r="C156" t="s">
        <v>273</v>
      </c>
      <c r="F156" t="s">
        <v>366</v>
      </c>
    </row>
    <row r="157" spans="1:6" ht="15.75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t="15.75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t="15.75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t="15.75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t="15.75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t="15.75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t="15.75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">
      <c r="A164" t="s">
        <v>27</v>
      </c>
      <c r="B164" t="s">
        <v>281</v>
      </c>
      <c r="C164" t="s">
        <v>281</v>
      </c>
      <c r="F164" t="s">
        <v>374</v>
      </c>
    </row>
    <row r="165" spans="1:6" ht="15.75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t="15.75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t="15.75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t="15.75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t="15.75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t="15.75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">
      <c r="A203" t="s">
        <v>33</v>
      </c>
      <c r="B203" t="s">
        <v>320</v>
      </c>
      <c r="C203" t="s">
        <v>320</v>
      </c>
      <c r="F203" t="s">
        <v>412</v>
      </c>
    </row>
    <row r="204" spans="1:6" ht="15.75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t="15.75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t="15.75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t="15.75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t="15.75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t="15.75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t="15.75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t="15.75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t="15.75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">
      <c r="A213" t="s">
        <v>34</v>
      </c>
      <c r="B213" t="s">
        <v>330</v>
      </c>
      <c r="C213" t="s">
        <v>330</v>
      </c>
      <c r="F213" t="s">
        <v>77</v>
      </c>
    </row>
    <row r="214" spans="1:6" ht="15.75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">
      <c r="A215" t="s">
        <v>34</v>
      </c>
      <c r="B215" t="s">
        <v>332</v>
      </c>
      <c r="C215" t="s">
        <v>332</v>
      </c>
      <c r="F215" t="s">
        <v>422</v>
      </c>
    </row>
    <row r="216" spans="1:6" ht="15.75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t="15.75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t="15.75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t="15.75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t="15.75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t="15.75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t="15.75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t="15.75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t="15.75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t="15.75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t="15.75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t="15.75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t="15.75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t="15.75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t="15.75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t="15.75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t="15.75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t="15.75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">
      <c r="A235" t="s">
        <v>35</v>
      </c>
      <c r="B235" t="s">
        <v>341</v>
      </c>
      <c r="C235" t="s">
        <v>341</v>
      </c>
      <c r="F235" t="s">
        <v>442</v>
      </c>
    </row>
    <row r="236" spans="1:6" ht="15.75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t="15.75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t="15.75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t="15.75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">
      <c r="A354" t="s">
        <v>81</v>
      </c>
      <c r="B354" t="s">
        <v>448</v>
      </c>
      <c r="C354" t="s">
        <v>448</v>
      </c>
    </row>
    <row r="355" spans="1:6" x14ac:dyDescent="0.2">
      <c r="A355" t="s">
        <v>81</v>
      </c>
      <c r="B355" t="s">
        <v>449</v>
      </c>
      <c r="C355" t="s">
        <v>449</v>
      </c>
    </row>
    <row r="356" spans="1:6" x14ac:dyDescent="0.2">
      <c r="A356" t="s">
        <v>81</v>
      </c>
      <c r="B356" t="s">
        <v>450</v>
      </c>
      <c r="C356" t="s">
        <v>450</v>
      </c>
    </row>
    <row r="357" spans="1:6" x14ac:dyDescent="0.2">
      <c r="A357" t="s">
        <v>81</v>
      </c>
      <c r="B357" t="s">
        <v>451</v>
      </c>
      <c r="C357" t="s">
        <v>451</v>
      </c>
    </row>
    <row r="358" spans="1:6" x14ac:dyDescent="0.2">
      <c r="A358" t="s">
        <v>81</v>
      </c>
      <c r="B358" t="s">
        <v>452</v>
      </c>
      <c r="C358" t="s">
        <v>452</v>
      </c>
    </row>
    <row r="359" spans="1:6" x14ac:dyDescent="0.2">
      <c r="A359" t="s">
        <v>81</v>
      </c>
      <c r="B359" t="s">
        <v>453</v>
      </c>
      <c r="C359" t="s">
        <v>453</v>
      </c>
    </row>
    <row r="360" spans="1:6" x14ac:dyDescent="0.2">
      <c r="A360" t="s">
        <v>81</v>
      </c>
      <c r="B360" t="s">
        <v>454</v>
      </c>
      <c r="C360" t="s">
        <v>454</v>
      </c>
    </row>
    <row r="361" spans="1:6" x14ac:dyDescent="0.2">
      <c r="A361" t="s">
        <v>81</v>
      </c>
      <c r="B361" t="s">
        <v>455</v>
      </c>
      <c r="C361" t="s">
        <v>455</v>
      </c>
    </row>
    <row r="362" spans="1:6" x14ac:dyDescent="0.2">
      <c r="A362" t="s">
        <v>81</v>
      </c>
      <c r="B362" t="s">
        <v>456</v>
      </c>
      <c r="C362" t="s">
        <v>456</v>
      </c>
    </row>
    <row r="363" spans="1:6" x14ac:dyDescent="0.2">
      <c r="A363" t="s">
        <v>82</v>
      </c>
      <c r="B363" t="s">
        <v>457</v>
      </c>
      <c r="C363" t="s">
        <v>457</v>
      </c>
    </row>
    <row r="364" spans="1:6" x14ac:dyDescent="0.2">
      <c r="A364" t="s">
        <v>82</v>
      </c>
      <c r="B364" t="s">
        <v>458</v>
      </c>
      <c r="C364" t="s">
        <v>458</v>
      </c>
    </row>
    <row r="365" spans="1:6" x14ac:dyDescent="0.2">
      <c r="A365" t="s">
        <v>82</v>
      </c>
      <c r="B365" t="s">
        <v>459</v>
      </c>
      <c r="C365" t="s">
        <v>459</v>
      </c>
    </row>
    <row r="366" spans="1:6" x14ac:dyDescent="0.2">
      <c r="A366" t="s">
        <v>82</v>
      </c>
      <c r="B366" t="s">
        <v>460</v>
      </c>
      <c r="C366" t="s">
        <v>460</v>
      </c>
    </row>
    <row r="367" spans="1:6" x14ac:dyDescent="0.2">
      <c r="A367" t="s">
        <v>83</v>
      </c>
      <c r="B367" t="s">
        <v>461</v>
      </c>
      <c r="C367" t="s">
        <v>461</v>
      </c>
    </row>
    <row r="368" spans="1:6" x14ac:dyDescent="0.2">
      <c r="A368" t="s">
        <v>84</v>
      </c>
      <c r="B368" t="s">
        <v>462</v>
      </c>
      <c r="C368" t="s">
        <v>462</v>
      </c>
    </row>
    <row r="369" spans="1:3" x14ac:dyDescent="0.2">
      <c r="A369" t="s">
        <v>85</v>
      </c>
      <c r="B369" t="s">
        <v>463</v>
      </c>
      <c r="C369" t="s">
        <v>463</v>
      </c>
    </row>
    <row r="370" spans="1:3" x14ac:dyDescent="0.2">
      <c r="A370" t="s">
        <v>86</v>
      </c>
      <c r="B370" t="s">
        <v>464</v>
      </c>
      <c r="C370" t="s">
        <v>464</v>
      </c>
    </row>
    <row r="371" spans="1:3" x14ac:dyDescent="0.2">
      <c r="A371" t="s">
        <v>86</v>
      </c>
      <c r="B371" t="s">
        <v>465</v>
      </c>
      <c r="C371" t="s">
        <v>465</v>
      </c>
    </row>
    <row r="372" spans="1:3" x14ac:dyDescent="0.2">
      <c r="A372" t="s">
        <v>86</v>
      </c>
      <c r="B372" t="s">
        <v>466</v>
      </c>
      <c r="C372" t="s">
        <v>466</v>
      </c>
    </row>
    <row r="373" spans="1:3" x14ac:dyDescent="0.2">
      <c r="A373" t="s">
        <v>86</v>
      </c>
      <c r="B373" t="s">
        <v>467</v>
      </c>
      <c r="C373" t="s">
        <v>467</v>
      </c>
    </row>
    <row r="374" spans="1:3" x14ac:dyDescent="0.2">
      <c r="A374" t="s">
        <v>87</v>
      </c>
      <c r="B374" t="s">
        <v>468</v>
      </c>
      <c r="C374" t="s">
        <v>468</v>
      </c>
    </row>
    <row r="375" spans="1:3" x14ac:dyDescent="0.2">
      <c r="A375" t="s">
        <v>87</v>
      </c>
      <c r="B375" t="s">
        <v>469</v>
      </c>
      <c r="C375" t="s">
        <v>469</v>
      </c>
    </row>
    <row r="376" spans="1:3" x14ac:dyDescent="0.2">
      <c r="A376" t="s">
        <v>88</v>
      </c>
      <c r="B376" t="s">
        <v>470</v>
      </c>
      <c r="C376" t="s">
        <v>470</v>
      </c>
    </row>
    <row r="377" spans="1:3" x14ac:dyDescent="0.2">
      <c r="A377" t="s">
        <v>89</v>
      </c>
      <c r="B377" t="s">
        <v>471</v>
      </c>
      <c r="C377" t="s">
        <v>471</v>
      </c>
    </row>
    <row r="378" spans="1:3" x14ac:dyDescent="0.2">
      <c r="A378" t="s">
        <v>89</v>
      </c>
      <c r="B378" t="s">
        <v>472</v>
      </c>
      <c r="C378" t="s">
        <v>472</v>
      </c>
    </row>
    <row r="379" spans="1:3" x14ac:dyDescent="0.2">
      <c r="A379" t="s">
        <v>90</v>
      </c>
      <c r="B379" t="s">
        <v>473</v>
      </c>
      <c r="C379" t="s">
        <v>473</v>
      </c>
    </row>
    <row r="380" spans="1:3" x14ac:dyDescent="0.2">
      <c r="A380" t="s">
        <v>91</v>
      </c>
      <c r="B380" t="s">
        <v>474</v>
      </c>
      <c r="C380" t="s">
        <v>474</v>
      </c>
    </row>
    <row r="381" spans="1:3" x14ac:dyDescent="0.2">
      <c r="A381" t="s">
        <v>92</v>
      </c>
      <c r="B381" t="s">
        <v>92</v>
      </c>
      <c r="C381" t="s">
        <v>92</v>
      </c>
    </row>
    <row r="382" spans="1:3" x14ac:dyDescent="0.2">
      <c r="A382" t="s">
        <v>93</v>
      </c>
      <c r="B382" t="s">
        <v>93</v>
      </c>
      <c r="C382" t="s">
        <v>93</v>
      </c>
    </row>
    <row r="383" spans="1:3" x14ac:dyDescent="0.2">
      <c r="A383" t="s">
        <v>94</v>
      </c>
      <c r="B383" t="s">
        <v>475</v>
      </c>
      <c r="C383" t="s">
        <v>475</v>
      </c>
    </row>
    <row r="384" spans="1:3" x14ac:dyDescent="0.2">
      <c r="A384" t="s">
        <v>95</v>
      </c>
      <c r="B384" t="s">
        <v>476</v>
      </c>
      <c r="C384" t="s">
        <v>476</v>
      </c>
    </row>
    <row r="385" spans="1:3" x14ac:dyDescent="0.2">
      <c r="A385" t="s">
        <v>96</v>
      </c>
      <c r="B385" t="s">
        <v>96</v>
      </c>
      <c r="C385" t="s">
        <v>96</v>
      </c>
    </row>
    <row r="386" spans="1:3" x14ac:dyDescent="0.2">
      <c r="A386" t="s">
        <v>97</v>
      </c>
      <c r="B386" t="s">
        <v>477</v>
      </c>
      <c r="C386" t="s">
        <v>477</v>
      </c>
    </row>
    <row r="387" spans="1:3" x14ac:dyDescent="0.2">
      <c r="A387" t="s">
        <v>98</v>
      </c>
      <c r="B387" t="s">
        <v>98</v>
      </c>
      <c r="C387" t="s">
        <v>98</v>
      </c>
    </row>
    <row r="388" spans="1:3" x14ac:dyDescent="0.2">
      <c r="A388" t="s">
        <v>99</v>
      </c>
      <c r="B388" t="s">
        <v>478</v>
      </c>
      <c r="C388" t="s">
        <v>478</v>
      </c>
    </row>
    <row r="389" spans="1:3" x14ac:dyDescent="0.2">
      <c r="A389" t="s">
        <v>99</v>
      </c>
      <c r="B389" t="s">
        <v>479</v>
      </c>
      <c r="C389" t="s">
        <v>479</v>
      </c>
    </row>
    <row r="390" spans="1:3" x14ac:dyDescent="0.2">
      <c r="A390" t="s">
        <v>99</v>
      </c>
      <c r="B390" t="s">
        <v>480</v>
      </c>
      <c r="C390" t="s">
        <v>480</v>
      </c>
    </row>
    <row r="391" spans="1:3" x14ac:dyDescent="0.2">
      <c r="A391" t="s">
        <v>99</v>
      </c>
      <c r="B391" t="s">
        <v>481</v>
      </c>
      <c r="C391" t="s">
        <v>481</v>
      </c>
    </row>
    <row r="392" spans="1:3" x14ac:dyDescent="0.2">
      <c r="A392" t="s">
        <v>99</v>
      </c>
      <c r="B392" t="s">
        <v>482</v>
      </c>
      <c r="C392" t="s">
        <v>482</v>
      </c>
    </row>
    <row r="393" spans="1:3" x14ac:dyDescent="0.2">
      <c r="A393" t="s">
        <v>99</v>
      </c>
      <c r="B393" t="s">
        <v>483</v>
      </c>
      <c r="C393" t="s">
        <v>483</v>
      </c>
    </row>
    <row r="394" spans="1:3" x14ac:dyDescent="0.2">
      <c r="A394" t="s">
        <v>99</v>
      </c>
      <c r="B394" t="s">
        <v>484</v>
      </c>
      <c r="C394" t="s">
        <v>484</v>
      </c>
    </row>
    <row r="395" spans="1:3" x14ac:dyDescent="0.2">
      <c r="A395" t="s">
        <v>99</v>
      </c>
      <c r="B395" t="s">
        <v>485</v>
      </c>
      <c r="C395" t="s">
        <v>485</v>
      </c>
    </row>
    <row r="396" spans="1:3" x14ac:dyDescent="0.2">
      <c r="A396" t="s">
        <v>99</v>
      </c>
      <c r="B396" t="s">
        <v>486</v>
      </c>
      <c r="C396" t="s">
        <v>486</v>
      </c>
    </row>
    <row r="397" spans="1:3" x14ac:dyDescent="0.2">
      <c r="A397" t="s">
        <v>99</v>
      </c>
      <c r="B397" t="s">
        <v>487</v>
      </c>
      <c r="C397" t="s">
        <v>487</v>
      </c>
    </row>
    <row r="398" spans="1:3" x14ac:dyDescent="0.2">
      <c r="A398" t="s">
        <v>100</v>
      </c>
      <c r="B398" t="s">
        <v>488</v>
      </c>
      <c r="C398" t="s">
        <v>488</v>
      </c>
    </row>
    <row r="399" spans="1:3" x14ac:dyDescent="0.2">
      <c r="A399" t="s">
        <v>100</v>
      </c>
      <c r="B399" t="s">
        <v>489</v>
      </c>
      <c r="C399" t="s">
        <v>489</v>
      </c>
    </row>
    <row r="400" spans="1:3" x14ac:dyDescent="0.2">
      <c r="A400" t="s">
        <v>100</v>
      </c>
      <c r="B400" t="s">
        <v>490</v>
      </c>
      <c r="C400" t="s">
        <v>490</v>
      </c>
    </row>
    <row r="401" spans="1:3" x14ac:dyDescent="0.2">
      <c r="A401" t="s">
        <v>100</v>
      </c>
      <c r="B401" t="s">
        <v>491</v>
      </c>
      <c r="C401" t="s">
        <v>491</v>
      </c>
    </row>
    <row r="402" spans="1:3" x14ac:dyDescent="0.2">
      <c r="A402" t="s">
        <v>100</v>
      </c>
      <c r="B402" t="s">
        <v>492</v>
      </c>
      <c r="C402" t="s">
        <v>492</v>
      </c>
    </row>
    <row r="403" spans="1:3" x14ac:dyDescent="0.2">
      <c r="A403" t="s">
        <v>100</v>
      </c>
      <c r="B403" t="s">
        <v>493</v>
      </c>
      <c r="C403" t="s">
        <v>493</v>
      </c>
    </row>
    <row r="404" spans="1:3" x14ac:dyDescent="0.2">
      <c r="A404" t="s">
        <v>100</v>
      </c>
      <c r="B404" t="s">
        <v>494</v>
      </c>
      <c r="C404" t="s">
        <v>494</v>
      </c>
    </row>
    <row r="405" spans="1:3" x14ac:dyDescent="0.2">
      <c r="A405" t="s">
        <v>100</v>
      </c>
      <c r="B405" t="s">
        <v>495</v>
      </c>
      <c r="C405" t="s">
        <v>495</v>
      </c>
    </row>
    <row r="406" spans="1:3" x14ac:dyDescent="0.2">
      <c r="A406" t="s">
        <v>100</v>
      </c>
      <c r="B406" t="s">
        <v>496</v>
      </c>
      <c r="C406" t="s">
        <v>496</v>
      </c>
    </row>
    <row r="407" spans="1:3" x14ac:dyDescent="0.2">
      <c r="A407" t="s">
        <v>100</v>
      </c>
      <c r="B407" t="s">
        <v>497</v>
      </c>
      <c r="C407" t="s">
        <v>497</v>
      </c>
    </row>
    <row r="408" spans="1:3" x14ac:dyDescent="0.2">
      <c r="A408" t="s">
        <v>101</v>
      </c>
      <c r="B408" t="s">
        <v>498</v>
      </c>
      <c r="C408" t="s">
        <v>498</v>
      </c>
    </row>
    <row r="409" spans="1:3" x14ac:dyDescent="0.2">
      <c r="A409" t="s">
        <v>101</v>
      </c>
      <c r="B409" t="s">
        <v>499</v>
      </c>
      <c r="C409" t="s">
        <v>499</v>
      </c>
    </row>
    <row r="410" spans="1:3" x14ac:dyDescent="0.2">
      <c r="A410" t="s">
        <v>101</v>
      </c>
      <c r="B410" t="s">
        <v>500</v>
      </c>
      <c r="C410" t="s">
        <v>500</v>
      </c>
    </row>
    <row r="411" spans="1:3" x14ac:dyDescent="0.2">
      <c r="A411" t="s">
        <v>101</v>
      </c>
      <c r="B411" t="s">
        <v>501</v>
      </c>
      <c r="C411" t="s">
        <v>501</v>
      </c>
    </row>
    <row r="412" spans="1:3" x14ac:dyDescent="0.2">
      <c r="A412" t="s">
        <v>101</v>
      </c>
      <c r="B412" t="s">
        <v>502</v>
      </c>
      <c r="C412" t="s">
        <v>502</v>
      </c>
    </row>
    <row r="413" spans="1:3" x14ac:dyDescent="0.2">
      <c r="A413" t="s">
        <v>101</v>
      </c>
      <c r="B413" t="s">
        <v>503</v>
      </c>
      <c r="C413" t="s">
        <v>503</v>
      </c>
    </row>
    <row r="414" spans="1:3" x14ac:dyDescent="0.2">
      <c r="A414" t="s">
        <v>101</v>
      </c>
      <c r="B414" t="s">
        <v>504</v>
      </c>
      <c r="C414" t="s">
        <v>504</v>
      </c>
    </row>
    <row r="415" spans="1:3" x14ac:dyDescent="0.2">
      <c r="A415" t="s">
        <v>101</v>
      </c>
      <c r="B415" t="s">
        <v>505</v>
      </c>
      <c r="C415" t="s">
        <v>505</v>
      </c>
    </row>
    <row r="416" spans="1:3" x14ac:dyDescent="0.2">
      <c r="A416" t="s">
        <v>101</v>
      </c>
      <c r="B416" t="s">
        <v>506</v>
      </c>
      <c r="C416" t="s">
        <v>506</v>
      </c>
    </row>
    <row r="417" spans="1:3" ht="15.75" hidden="1" x14ac:dyDescent="0.25">
      <c r="A417" t="s">
        <v>102</v>
      </c>
      <c r="B417" t="s">
        <v>507</v>
      </c>
      <c r="C417" t="e">
        <v>#N/A</v>
      </c>
    </row>
    <row r="418" spans="1:3" ht="15.75" hidden="1" x14ac:dyDescent="0.25">
      <c r="A418" t="s">
        <v>102</v>
      </c>
      <c r="B418" t="s">
        <v>508</v>
      </c>
      <c r="C418" t="e">
        <v>#N/A</v>
      </c>
    </row>
    <row r="419" spans="1:3" ht="15.75" hidden="1" x14ac:dyDescent="0.25">
      <c r="A419" t="s">
        <v>102</v>
      </c>
      <c r="B419" t="s">
        <v>509</v>
      </c>
      <c r="C419" t="e">
        <v>#N/A</v>
      </c>
    </row>
    <row r="420" spans="1:3" ht="15.75" hidden="1" x14ac:dyDescent="0.25">
      <c r="A420" t="s">
        <v>102</v>
      </c>
      <c r="B420" t="s">
        <v>510</v>
      </c>
      <c r="C420" t="e">
        <v>#N/A</v>
      </c>
    </row>
    <row r="421" spans="1:3" ht="15.75" hidden="1" x14ac:dyDescent="0.25">
      <c r="A421" t="s">
        <v>102</v>
      </c>
      <c r="B421" t="s">
        <v>511</v>
      </c>
      <c r="C421" t="e">
        <v>#N/A</v>
      </c>
    </row>
    <row r="422" spans="1:3" ht="15.75" hidden="1" x14ac:dyDescent="0.25">
      <c r="A422" t="s">
        <v>102</v>
      </c>
      <c r="B422" t="s">
        <v>512</v>
      </c>
      <c r="C422" t="e">
        <v>#N/A</v>
      </c>
    </row>
    <row r="423" spans="1:3" ht="15.75" hidden="1" x14ac:dyDescent="0.25">
      <c r="A423" t="s">
        <v>102</v>
      </c>
      <c r="B423" t="s">
        <v>513</v>
      </c>
      <c r="C423" t="e">
        <v>#N/A</v>
      </c>
    </row>
    <row r="424" spans="1:3" ht="15.75" hidden="1" x14ac:dyDescent="0.25">
      <c r="A424" t="s">
        <v>102</v>
      </c>
      <c r="B424" t="s">
        <v>514</v>
      </c>
      <c r="C424" t="e">
        <v>#N/A</v>
      </c>
    </row>
    <row r="425" spans="1:3" x14ac:dyDescent="0.2">
      <c r="A425" t="s">
        <v>102</v>
      </c>
      <c r="B425" t="s">
        <v>515</v>
      </c>
      <c r="C425" t="s">
        <v>515</v>
      </c>
    </row>
    <row r="426" spans="1:3" x14ac:dyDescent="0.2">
      <c r="A426" t="s">
        <v>102</v>
      </c>
      <c r="B426" t="s">
        <v>515</v>
      </c>
      <c r="C426" t="s">
        <v>515</v>
      </c>
    </row>
    <row r="427" spans="1:3" x14ac:dyDescent="0.2">
      <c r="A427" t="s">
        <v>103</v>
      </c>
      <c r="B427" t="s">
        <v>516</v>
      </c>
      <c r="C427" t="s">
        <v>516</v>
      </c>
    </row>
    <row r="428" spans="1:3" x14ac:dyDescent="0.2">
      <c r="A428" t="s">
        <v>103</v>
      </c>
      <c r="B428" t="s">
        <v>517</v>
      </c>
      <c r="C428" t="s">
        <v>517</v>
      </c>
    </row>
    <row r="429" spans="1:3" x14ac:dyDescent="0.2">
      <c r="A429" t="s">
        <v>104</v>
      </c>
      <c r="B429" t="s">
        <v>518</v>
      </c>
      <c r="C429" t="s">
        <v>518</v>
      </c>
    </row>
    <row r="430" spans="1:3" x14ac:dyDescent="0.2">
      <c r="A430" t="s">
        <v>104</v>
      </c>
      <c r="B430" t="s">
        <v>519</v>
      </c>
      <c r="C430" t="s">
        <v>519</v>
      </c>
    </row>
    <row r="431" spans="1:3" x14ac:dyDescent="0.2">
      <c r="A431" t="s">
        <v>104</v>
      </c>
      <c r="B431" t="s">
        <v>520</v>
      </c>
      <c r="C431" t="s">
        <v>520</v>
      </c>
    </row>
    <row r="432" spans="1:3" x14ac:dyDescent="0.2">
      <c r="A432" t="s">
        <v>104</v>
      </c>
      <c r="B432" t="s">
        <v>521</v>
      </c>
      <c r="C432" t="s">
        <v>521</v>
      </c>
    </row>
    <row r="433" spans="1:3" x14ac:dyDescent="0.2">
      <c r="A433" t="s">
        <v>104</v>
      </c>
      <c r="B433" t="s">
        <v>522</v>
      </c>
      <c r="C433" t="s">
        <v>522</v>
      </c>
    </row>
    <row r="434" spans="1:3" x14ac:dyDescent="0.2">
      <c r="A434" t="s">
        <v>104</v>
      </c>
      <c r="B434" t="s">
        <v>523</v>
      </c>
      <c r="C434" t="s">
        <v>523</v>
      </c>
    </row>
    <row r="435" spans="1:3" x14ac:dyDescent="0.2">
      <c r="A435" t="s">
        <v>105</v>
      </c>
      <c r="B435" t="s">
        <v>524</v>
      </c>
      <c r="C435" t="s">
        <v>524</v>
      </c>
    </row>
    <row r="436" spans="1:3" x14ac:dyDescent="0.2">
      <c r="A436" t="s">
        <v>105</v>
      </c>
      <c r="B436" t="s">
        <v>525</v>
      </c>
      <c r="C436" t="s">
        <v>525</v>
      </c>
    </row>
    <row r="437" spans="1:3" x14ac:dyDescent="0.2">
      <c r="A437" t="s">
        <v>106</v>
      </c>
      <c r="B437" t="s">
        <v>526</v>
      </c>
      <c r="C437" t="s">
        <v>526</v>
      </c>
    </row>
    <row r="438" spans="1:3" x14ac:dyDescent="0.2">
      <c r="A438" t="s">
        <v>106</v>
      </c>
      <c r="B438" t="s">
        <v>527</v>
      </c>
      <c r="C438" t="s">
        <v>527</v>
      </c>
    </row>
    <row r="439" spans="1:3" x14ac:dyDescent="0.2">
      <c r="A439" t="s">
        <v>107</v>
      </c>
      <c r="B439" t="s">
        <v>528</v>
      </c>
      <c r="C439" t="s">
        <v>528</v>
      </c>
    </row>
    <row r="440" spans="1:3" x14ac:dyDescent="0.2">
      <c r="A440" t="s">
        <v>108</v>
      </c>
      <c r="B440" t="s">
        <v>529</v>
      </c>
      <c r="C440" t="s">
        <v>529</v>
      </c>
    </row>
    <row r="441" spans="1:3" x14ac:dyDescent="0.2">
      <c r="A441" t="s">
        <v>109</v>
      </c>
      <c r="B441" t="s">
        <v>109</v>
      </c>
      <c r="C441" t="s">
        <v>109</v>
      </c>
    </row>
    <row r="442" spans="1:3" x14ac:dyDescent="0.2">
      <c r="A442" t="s">
        <v>110</v>
      </c>
      <c r="B442" t="s">
        <v>530</v>
      </c>
      <c r="C442" t="s">
        <v>530</v>
      </c>
    </row>
    <row r="443" spans="1:3" x14ac:dyDescent="0.2">
      <c r="A443" t="s">
        <v>111</v>
      </c>
      <c r="B443" t="s">
        <v>531</v>
      </c>
      <c r="C443" t="s">
        <v>531</v>
      </c>
    </row>
    <row r="444" spans="1:3" x14ac:dyDescent="0.2">
      <c r="A444" t="s">
        <v>111</v>
      </c>
      <c r="B444" t="s">
        <v>532</v>
      </c>
      <c r="C444" t="s">
        <v>532</v>
      </c>
    </row>
    <row r="445" spans="1:3" x14ac:dyDescent="0.2">
      <c r="A445" t="s">
        <v>111</v>
      </c>
      <c r="B445" t="s">
        <v>533</v>
      </c>
      <c r="C445" t="s">
        <v>533</v>
      </c>
    </row>
    <row r="446" spans="1:3" x14ac:dyDescent="0.2">
      <c r="A446" t="s">
        <v>111</v>
      </c>
      <c r="B446" t="s">
        <v>534</v>
      </c>
      <c r="C446" t="s">
        <v>534</v>
      </c>
    </row>
    <row r="447" spans="1:3" x14ac:dyDescent="0.2">
      <c r="A447" t="s">
        <v>111</v>
      </c>
      <c r="B447" t="s">
        <v>535</v>
      </c>
      <c r="C447" t="s">
        <v>535</v>
      </c>
    </row>
    <row r="448" spans="1:3" x14ac:dyDescent="0.2">
      <c r="A448" t="s">
        <v>112</v>
      </c>
      <c r="B448" t="s">
        <v>536</v>
      </c>
      <c r="C448" t="s">
        <v>536</v>
      </c>
    </row>
    <row r="449" spans="1:3" x14ac:dyDescent="0.2">
      <c r="A449" t="s">
        <v>113</v>
      </c>
      <c r="B449" t="s">
        <v>537</v>
      </c>
      <c r="C449" t="s">
        <v>537</v>
      </c>
    </row>
    <row r="450" spans="1:3" x14ac:dyDescent="0.2">
      <c r="A450" t="s">
        <v>114</v>
      </c>
      <c r="B450" t="s">
        <v>114</v>
      </c>
      <c r="C450" t="s">
        <v>114</v>
      </c>
    </row>
    <row r="451" spans="1:3" x14ac:dyDescent="0.2">
      <c r="A451" t="s">
        <v>115</v>
      </c>
      <c r="B451" t="s">
        <v>115</v>
      </c>
      <c r="C451" t="s">
        <v>115</v>
      </c>
    </row>
    <row r="452" spans="1:3" x14ac:dyDescent="0.2">
      <c r="A452" t="s">
        <v>116</v>
      </c>
      <c r="B452" t="s">
        <v>538</v>
      </c>
      <c r="C452" t="s">
        <v>538</v>
      </c>
    </row>
    <row r="453" spans="1:3" x14ac:dyDescent="0.2">
      <c r="A453" t="s">
        <v>116</v>
      </c>
      <c r="B453" t="s">
        <v>539</v>
      </c>
      <c r="C453" t="s">
        <v>539</v>
      </c>
    </row>
    <row r="454" spans="1:3" x14ac:dyDescent="0.2">
      <c r="A454" t="s">
        <v>117</v>
      </c>
      <c r="B454" t="s">
        <v>540</v>
      </c>
      <c r="C454" t="s">
        <v>540</v>
      </c>
    </row>
    <row r="455" spans="1:3" x14ac:dyDescent="0.2">
      <c r="A455" t="s">
        <v>117</v>
      </c>
      <c r="B455" t="s">
        <v>541</v>
      </c>
      <c r="C455" t="s">
        <v>541</v>
      </c>
    </row>
    <row r="456" spans="1:3" x14ac:dyDescent="0.2">
      <c r="A456" t="s">
        <v>118</v>
      </c>
      <c r="B456" t="s">
        <v>118</v>
      </c>
      <c r="C456" t="s">
        <v>118</v>
      </c>
    </row>
    <row r="457" spans="1:3" x14ac:dyDescent="0.2">
      <c r="A457" t="s">
        <v>119</v>
      </c>
      <c r="B457" t="s">
        <v>542</v>
      </c>
      <c r="C457" t="s">
        <v>542</v>
      </c>
    </row>
    <row r="458" spans="1:3" x14ac:dyDescent="0.2">
      <c r="A458" t="s">
        <v>119</v>
      </c>
      <c r="B458" t="s">
        <v>543</v>
      </c>
      <c r="C458" t="s">
        <v>543</v>
      </c>
    </row>
    <row r="459" spans="1:3" x14ac:dyDescent="0.2">
      <c r="A459" t="s">
        <v>119</v>
      </c>
      <c r="B459" t="s">
        <v>544</v>
      </c>
      <c r="C459" t="s">
        <v>544</v>
      </c>
    </row>
    <row r="460" spans="1:3" x14ac:dyDescent="0.2">
      <c r="A460" t="s">
        <v>119</v>
      </c>
      <c r="B460" t="s">
        <v>545</v>
      </c>
      <c r="C460" t="s">
        <v>545</v>
      </c>
    </row>
    <row r="461" spans="1:3" x14ac:dyDescent="0.2">
      <c r="A461" t="s">
        <v>120</v>
      </c>
      <c r="B461" t="s">
        <v>546</v>
      </c>
      <c r="C461" t="s">
        <v>546</v>
      </c>
    </row>
    <row r="462" spans="1:3" x14ac:dyDescent="0.2">
      <c r="A462" t="s">
        <v>120</v>
      </c>
      <c r="B462" t="s">
        <v>547</v>
      </c>
      <c r="C462" t="s">
        <v>547</v>
      </c>
    </row>
    <row r="463" spans="1:3" x14ac:dyDescent="0.2">
      <c r="A463" t="s">
        <v>120</v>
      </c>
      <c r="B463" t="s">
        <v>548</v>
      </c>
      <c r="C463" t="s">
        <v>548</v>
      </c>
    </row>
    <row r="464" spans="1:3" x14ac:dyDescent="0.2">
      <c r="A464" t="s">
        <v>120</v>
      </c>
      <c r="B464" t="s">
        <v>549</v>
      </c>
      <c r="C464" t="s">
        <v>549</v>
      </c>
    </row>
    <row r="465" spans="1:3" x14ac:dyDescent="0.2">
      <c r="A465" t="s">
        <v>120</v>
      </c>
      <c r="B465" t="s">
        <v>550</v>
      </c>
      <c r="C465" t="s">
        <v>550</v>
      </c>
    </row>
    <row r="466" spans="1:3" x14ac:dyDescent="0.2">
      <c r="A466" t="s">
        <v>120</v>
      </c>
      <c r="B466" t="s">
        <v>551</v>
      </c>
      <c r="C466" t="s">
        <v>551</v>
      </c>
    </row>
    <row r="467" spans="1:3" x14ac:dyDescent="0.2">
      <c r="A467" t="s">
        <v>120</v>
      </c>
      <c r="B467" t="s">
        <v>552</v>
      </c>
      <c r="C467" t="s">
        <v>552</v>
      </c>
    </row>
    <row r="468" spans="1:3" x14ac:dyDescent="0.2">
      <c r="A468" t="s">
        <v>120</v>
      </c>
      <c r="B468" t="s">
        <v>553</v>
      </c>
      <c r="C468" t="s">
        <v>553</v>
      </c>
    </row>
    <row r="469" spans="1:3" x14ac:dyDescent="0.2">
      <c r="A469" t="s">
        <v>120</v>
      </c>
      <c r="B469" t="s">
        <v>554</v>
      </c>
      <c r="C469" t="s">
        <v>554</v>
      </c>
    </row>
    <row r="470" spans="1:3" x14ac:dyDescent="0.2">
      <c r="A470" t="s">
        <v>120</v>
      </c>
      <c r="B470" t="s">
        <v>555</v>
      </c>
      <c r="C470" t="s">
        <v>555</v>
      </c>
    </row>
  </sheetData>
  <autoFilter ref="A1:C470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 enableFormatConditionsCalculation="0"/>
  <dimension ref="A1:A470"/>
  <sheetViews>
    <sheetView workbookViewId="0">
      <selection activeCell="E57" sqref="E57"/>
    </sheetView>
  </sheetViews>
  <sheetFormatPr baseColWidth="10" defaultColWidth="11" defaultRowHeight="16" x14ac:dyDescent="0.2"/>
  <sheetData>
    <row r="1" spans="1:1" x14ac:dyDescent="0.2">
      <c r="A1" s="1" t="s">
        <v>561</v>
      </c>
    </row>
    <row r="2" spans="1:1" x14ac:dyDescent="0.2">
      <c r="A2" t="s">
        <v>133</v>
      </c>
    </row>
    <row r="3" spans="1:1" x14ac:dyDescent="0.2">
      <c r="A3" t="s">
        <v>139</v>
      </c>
    </row>
    <row r="4" spans="1:1" x14ac:dyDescent="0.2">
      <c r="A4" t="s">
        <v>140</v>
      </c>
    </row>
    <row r="5" spans="1:1" ht="15.75" hidden="1" x14ac:dyDescent="0.25">
      <c r="A5" s="3" t="s">
        <v>124</v>
      </c>
    </row>
    <row r="6" spans="1:1" ht="15.75" hidden="1" x14ac:dyDescent="0.25">
      <c r="A6" s="3" t="s">
        <v>125</v>
      </c>
    </row>
    <row r="7" spans="1:1" ht="15.75" hidden="1" x14ac:dyDescent="0.25">
      <c r="A7" s="3" t="s">
        <v>126</v>
      </c>
    </row>
    <row r="8" spans="1:1" ht="15.75" hidden="1" x14ac:dyDescent="0.25">
      <c r="A8" s="3" t="s">
        <v>127</v>
      </c>
    </row>
    <row r="9" spans="1:1" ht="15.75" hidden="1" x14ac:dyDescent="0.25">
      <c r="A9" s="3" t="s">
        <v>128</v>
      </c>
    </row>
    <row r="10" spans="1:1" ht="15.75" hidden="1" x14ac:dyDescent="0.25">
      <c r="A10" s="3" t="s">
        <v>129</v>
      </c>
    </row>
    <row r="11" spans="1:1" ht="15.75" hidden="1" x14ac:dyDescent="0.25">
      <c r="A11" s="3" t="s">
        <v>130</v>
      </c>
    </row>
    <row r="12" spans="1:1" ht="15.75" hidden="1" x14ac:dyDescent="0.25">
      <c r="A12" s="3" t="s">
        <v>131</v>
      </c>
    </row>
    <row r="13" spans="1:1" ht="15.75" hidden="1" x14ac:dyDescent="0.25">
      <c r="A13" s="3" t="s">
        <v>132</v>
      </c>
    </row>
    <row r="14" spans="1:1" ht="15.75" hidden="1" x14ac:dyDescent="0.25">
      <c r="A14" s="3" t="s">
        <v>134</v>
      </c>
    </row>
    <row r="15" spans="1:1" ht="15.75" hidden="1" x14ac:dyDescent="0.25">
      <c r="A15" s="3" t="s">
        <v>135</v>
      </c>
    </row>
    <row r="16" spans="1:1" ht="15.75" hidden="1" x14ac:dyDescent="0.25">
      <c r="A16" s="3" t="s">
        <v>136</v>
      </c>
    </row>
    <row r="17" spans="1:1" ht="15.75" hidden="1" x14ac:dyDescent="0.25">
      <c r="A17" s="3" t="s">
        <v>137</v>
      </c>
    </row>
    <row r="18" spans="1:1" ht="15.75" hidden="1" x14ac:dyDescent="0.25">
      <c r="A18" s="3" t="s">
        <v>138</v>
      </c>
    </row>
    <row r="19" spans="1:1" x14ac:dyDescent="0.2">
      <c r="A19" t="s">
        <v>141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153</v>
      </c>
    </row>
    <row r="23" spans="1:1" x14ac:dyDescent="0.2">
      <c r="A23" t="s">
        <v>159</v>
      </c>
    </row>
    <row r="24" spans="1:1" x14ac:dyDescent="0.2">
      <c r="A24" t="s">
        <v>160</v>
      </c>
    </row>
    <row r="25" spans="1:1" ht="15.75" hidden="1" x14ac:dyDescent="0.25">
      <c r="A25" s="3" t="s">
        <v>144</v>
      </c>
    </row>
    <row r="26" spans="1:1" ht="15.75" hidden="1" x14ac:dyDescent="0.25">
      <c r="A26" s="3" t="s">
        <v>145</v>
      </c>
    </row>
    <row r="27" spans="1:1" ht="15.75" hidden="1" x14ac:dyDescent="0.25">
      <c r="A27" s="3" t="s">
        <v>146</v>
      </c>
    </row>
    <row r="28" spans="1:1" ht="15.75" hidden="1" x14ac:dyDescent="0.25">
      <c r="A28" s="3" t="s">
        <v>147</v>
      </c>
    </row>
    <row r="29" spans="1:1" ht="15.75" hidden="1" x14ac:dyDescent="0.25">
      <c r="A29" s="3" t="s">
        <v>148</v>
      </c>
    </row>
    <row r="30" spans="1:1" ht="15.75" hidden="1" x14ac:dyDescent="0.25">
      <c r="A30" s="3" t="s">
        <v>149</v>
      </c>
    </row>
    <row r="31" spans="1:1" ht="15.75" hidden="1" x14ac:dyDescent="0.25">
      <c r="A31" s="3" t="s">
        <v>150</v>
      </c>
    </row>
    <row r="32" spans="1:1" ht="15.75" hidden="1" x14ac:dyDescent="0.25">
      <c r="A32" s="3" t="s">
        <v>151</v>
      </c>
    </row>
    <row r="33" spans="1:1" ht="15.75" hidden="1" x14ac:dyDescent="0.25">
      <c r="A33" s="3" t="s">
        <v>152</v>
      </c>
    </row>
    <row r="34" spans="1:1" ht="15.75" hidden="1" x14ac:dyDescent="0.25">
      <c r="A34" s="3" t="s">
        <v>154</v>
      </c>
    </row>
    <row r="35" spans="1:1" ht="15.75" hidden="1" x14ac:dyDescent="0.25">
      <c r="A35" s="3" t="s">
        <v>155</v>
      </c>
    </row>
    <row r="36" spans="1:1" ht="15.75" hidden="1" x14ac:dyDescent="0.25">
      <c r="A36" s="3" t="s">
        <v>156</v>
      </c>
    </row>
    <row r="37" spans="1:1" ht="15.75" hidden="1" x14ac:dyDescent="0.25">
      <c r="A37" s="3" t="s">
        <v>157</v>
      </c>
    </row>
    <row r="38" spans="1:1" ht="15.75" hidden="1" x14ac:dyDescent="0.25">
      <c r="A38" s="3" t="s">
        <v>158</v>
      </c>
    </row>
    <row r="39" spans="1:1" x14ac:dyDescent="0.2">
      <c r="A39" t="s">
        <v>161</v>
      </c>
    </row>
    <row r="40" spans="1:1" x14ac:dyDescent="0.2">
      <c r="A40" t="s">
        <v>162</v>
      </c>
    </row>
    <row r="41" spans="1:1" x14ac:dyDescent="0.2">
      <c r="A41" t="s">
        <v>163</v>
      </c>
    </row>
    <row r="42" spans="1:1" x14ac:dyDescent="0.2">
      <c r="A42" t="s">
        <v>164</v>
      </c>
    </row>
    <row r="43" spans="1:1" x14ac:dyDescent="0.2">
      <c r="A43" t="s">
        <v>165</v>
      </c>
    </row>
    <row r="44" spans="1:1" x14ac:dyDescent="0.2">
      <c r="A44" t="s">
        <v>166</v>
      </c>
    </row>
    <row r="45" spans="1:1" x14ac:dyDescent="0.2">
      <c r="A45" t="s">
        <v>167</v>
      </c>
    </row>
    <row r="46" spans="1:1" x14ac:dyDescent="0.2">
      <c r="A46" t="s">
        <v>168</v>
      </c>
    </row>
    <row r="47" spans="1:1" x14ac:dyDescent="0.2">
      <c r="A47" t="s">
        <v>169</v>
      </c>
    </row>
    <row r="48" spans="1:1" x14ac:dyDescent="0.2">
      <c r="A48" t="s">
        <v>170</v>
      </c>
    </row>
    <row r="49" spans="1:1" x14ac:dyDescent="0.2">
      <c r="A49" t="s">
        <v>171</v>
      </c>
    </row>
    <row r="50" spans="1:1" x14ac:dyDescent="0.2">
      <c r="A50" t="s">
        <v>172</v>
      </c>
    </row>
    <row r="51" spans="1:1" x14ac:dyDescent="0.2">
      <c r="A51" t="s">
        <v>173</v>
      </c>
    </row>
    <row r="52" spans="1:1" x14ac:dyDescent="0.2">
      <c r="A52" t="s">
        <v>174</v>
      </c>
    </row>
    <row r="53" spans="1:1" x14ac:dyDescent="0.2">
      <c r="A53" t="s">
        <v>175</v>
      </c>
    </row>
    <row r="54" spans="1:1" x14ac:dyDescent="0.2">
      <c r="A54" t="s">
        <v>176</v>
      </c>
    </row>
    <row r="55" spans="1:1" x14ac:dyDescent="0.2">
      <c r="A55" t="s">
        <v>177</v>
      </c>
    </row>
    <row r="56" spans="1:1" x14ac:dyDescent="0.2">
      <c r="A56" t="s">
        <v>178</v>
      </c>
    </row>
    <row r="57" spans="1:1" x14ac:dyDescent="0.2">
      <c r="A57" t="s">
        <v>179</v>
      </c>
    </row>
    <row r="58" spans="1:1" x14ac:dyDescent="0.2">
      <c r="A58" t="s">
        <v>180</v>
      </c>
    </row>
    <row r="59" spans="1:1" x14ac:dyDescent="0.2">
      <c r="A59" t="s">
        <v>181</v>
      </c>
    </row>
    <row r="60" spans="1:1" x14ac:dyDescent="0.2">
      <c r="A60" t="s">
        <v>182</v>
      </c>
    </row>
    <row r="61" spans="1:1" x14ac:dyDescent="0.2">
      <c r="A61" t="s">
        <v>183</v>
      </c>
    </row>
    <row r="62" spans="1:1" x14ac:dyDescent="0.2">
      <c r="A62" t="s">
        <v>184</v>
      </c>
    </row>
    <row r="63" spans="1:1" x14ac:dyDescent="0.2">
      <c r="A63" t="s">
        <v>185</v>
      </c>
    </row>
    <row r="64" spans="1:1" x14ac:dyDescent="0.2">
      <c r="A64" t="s">
        <v>186</v>
      </c>
    </row>
    <row r="65" spans="1:1" x14ac:dyDescent="0.2">
      <c r="A65" t="s">
        <v>187</v>
      </c>
    </row>
    <row r="66" spans="1:1" x14ac:dyDescent="0.2">
      <c r="A66" t="s">
        <v>187</v>
      </c>
    </row>
    <row r="67" spans="1:1" x14ac:dyDescent="0.2">
      <c r="A67" t="s">
        <v>188</v>
      </c>
    </row>
    <row r="68" spans="1:1" x14ac:dyDescent="0.2">
      <c r="A68" t="s">
        <v>188</v>
      </c>
    </row>
    <row r="69" spans="1:1" x14ac:dyDescent="0.2">
      <c r="A69" t="s">
        <v>189</v>
      </c>
    </row>
    <row r="70" spans="1:1" x14ac:dyDescent="0.2">
      <c r="A70" t="s">
        <v>189</v>
      </c>
    </row>
    <row r="71" spans="1:1" x14ac:dyDescent="0.2">
      <c r="A71" t="s">
        <v>190</v>
      </c>
    </row>
    <row r="72" spans="1:1" x14ac:dyDescent="0.2">
      <c r="A72" t="s">
        <v>191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194</v>
      </c>
    </row>
    <row r="76" spans="1:1" x14ac:dyDescent="0.2">
      <c r="A76" t="s">
        <v>195</v>
      </c>
    </row>
    <row r="77" spans="1:1" x14ac:dyDescent="0.2">
      <c r="A77" t="s">
        <v>196</v>
      </c>
    </row>
    <row r="78" spans="1:1" x14ac:dyDescent="0.2">
      <c r="A78" t="s">
        <v>197</v>
      </c>
    </row>
    <row r="79" spans="1:1" x14ac:dyDescent="0.2">
      <c r="A79" t="s">
        <v>198</v>
      </c>
    </row>
    <row r="80" spans="1:1" x14ac:dyDescent="0.2">
      <c r="A80" t="s">
        <v>199</v>
      </c>
    </row>
    <row r="81" spans="1:1" x14ac:dyDescent="0.2">
      <c r="A81" t="s">
        <v>200</v>
      </c>
    </row>
    <row r="82" spans="1:1" x14ac:dyDescent="0.2">
      <c r="A82" t="s">
        <v>201</v>
      </c>
    </row>
    <row r="83" spans="1:1" x14ac:dyDescent="0.2">
      <c r="A83" t="s">
        <v>202</v>
      </c>
    </row>
    <row r="84" spans="1:1" x14ac:dyDescent="0.2">
      <c r="A84" t="s">
        <v>203</v>
      </c>
    </row>
    <row r="85" spans="1:1" x14ac:dyDescent="0.2">
      <c r="A85" t="s">
        <v>204</v>
      </c>
    </row>
    <row r="86" spans="1:1" x14ac:dyDescent="0.2">
      <c r="A86" t="s">
        <v>205</v>
      </c>
    </row>
    <row r="87" spans="1:1" x14ac:dyDescent="0.2">
      <c r="A87" t="s">
        <v>206</v>
      </c>
    </row>
    <row r="88" spans="1:1" x14ac:dyDescent="0.2">
      <c r="A88" t="s">
        <v>207</v>
      </c>
    </row>
    <row r="89" spans="1:1" x14ac:dyDescent="0.2">
      <c r="A89" t="s">
        <v>208</v>
      </c>
    </row>
    <row r="90" spans="1:1" x14ac:dyDescent="0.2">
      <c r="A90" t="s">
        <v>209</v>
      </c>
    </row>
    <row r="91" spans="1:1" x14ac:dyDescent="0.2">
      <c r="A91" t="s">
        <v>210</v>
      </c>
    </row>
    <row r="92" spans="1:1" x14ac:dyDescent="0.2">
      <c r="A92" t="s">
        <v>20</v>
      </c>
    </row>
    <row r="93" spans="1:1" x14ac:dyDescent="0.2">
      <c r="A93" t="s">
        <v>21</v>
      </c>
    </row>
    <row r="94" spans="1:1" x14ac:dyDescent="0.2">
      <c r="A94" t="s">
        <v>211</v>
      </c>
    </row>
    <row r="95" spans="1:1" x14ac:dyDescent="0.2">
      <c r="A95" t="s">
        <v>212</v>
      </c>
    </row>
    <row r="96" spans="1:1" x14ac:dyDescent="0.2">
      <c r="A96" t="s">
        <v>213</v>
      </c>
    </row>
    <row r="97" spans="1:1" x14ac:dyDescent="0.2">
      <c r="A97" t="s">
        <v>214</v>
      </c>
    </row>
    <row r="98" spans="1:1" x14ac:dyDescent="0.2">
      <c r="A98" t="s">
        <v>215</v>
      </c>
    </row>
    <row r="99" spans="1:1" x14ac:dyDescent="0.2">
      <c r="A99" t="s">
        <v>216</v>
      </c>
    </row>
    <row r="100" spans="1:1" x14ac:dyDescent="0.2">
      <c r="A100" t="s">
        <v>217</v>
      </c>
    </row>
    <row r="101" spans="1:1" x14ac:dyDescent="0.2">
      <c r="A101" t="s">
        <v>218</v>
      </c>
    </row>
    <row r="102" spans="1:1" x14ac:dyDescent="0.2">
      <c r="A102" t="s">
        <v>219</v>
      </c>
    </row>
    <row r="103" spans="1:1" x14ac:dyDescent="0.2">
      <c r="A103" t="s">
        <v>220</v>
      </c>
    </row>
    <row r="104" spans="1:1" x14ac:dyDescent="0.2">
      <c r="A104" t="s">
        <v>221</v>
      </c>
    </row>
    <row r="105" spans="1:1" x14ac:dyDescent="0.2">
      <c r="A105" t="s">
        <v>229</v>
      </c>
    </row>
    <row r="106" spans="1:1" x14ac:dyDescent="0.2">
      <c r="A106" t="s">
        <v>237</v>
      </c>
    </row>
    <row r="107" spans="1:1" x14ac:dyDescent="0.2">
      <c r="A107" t="s">
        <v>242</v>
      </c>
    </row>
    <row r="108" spans="1:1" ht="15.75" hidden="1" x14ac:dyDescent="0.25">
      <c r="A108" s="3" t="s">
        <v>222</v>
      </c>
    </row>
    <row r="109" spans="1:1" ht="15.75" hidden="1" x14ac:dyDescent="0.25">
      <c r="A109" s="3" t="s">
        <v>223</v>
      </c>
    </row>
    <row r="110" spans="1:1" ht="15.75" hidden="1" x14ac:dyDescent="0.25">
      <c r="A110" s="3" t="s">
        <v>224</v>
      </c>
    </row>
    <row r="111" spans="1:1" ht="15.75" hidden="1" x14ac:dyDescent="0.25">
      <c r="A111" s="3" t="s">
        <v>225</v>
      </c>
    </row>
    <row r="112" spans="1:1" ht="15.75" hidden="1" x14ac:dyDescent="0.25">
      <c r="A112" s="3" t="s">
        <v>226</v>
      </c>
    </row>
    <row r="113" spans="1:1" ht="15.75" hidden="1" x14ac:dyDescent="0.25">
      <c r="A113" s="3" t="s">
        <v>227</v>
      </c>
    </row>
    <row r="114" spans="1:1" ht="15.75" hidden="1" x14ac:dyDescent="0.25">
      <c r="A114" s="3" t="s">
        <v>228</v>
      </c>
    </row>
    <row r="115" spans="1:1" ht="15.75" hidden="1" x14ac:dyDescent="0.25">
      <c r="A115" s="3" t="s">
        <v>230</v>
      </c>
    </row>
    <row r="116" spans="1:1" ht="15.75" hidden="1" x14ac:dyDescent="0.25">
      <c r="A116" s="3" t="s">
        <v>231</v>
      </c>
    </row>
    <row r="117" spans="1:1" ht="15.75" hidden="1" x14ac:dyDescent="0.25">
      <c r="A117" s="3" t="s">
        <v>232</v>
      </c>
    </row>
    <row r="118" spans="1:1" ht="15.75" hidden="1" x14ac:dyDescent="0.25">
      <c r="A118" s="3" t="s">
        <v>233</v>
      </c>
    </row>
    <row r="119" spans="1:1" ht="15.75" hidden="1" x14ac:dyDescent="0.25">
      <c r="A119" s="3" t="s">
        <v>234</v>
      </c>
    </row>
    <row r="120" spans="1:1" ht="15.75" hidden="1" x14ac:dyDescent="0.25">
      <c r="A120" s="3" t="s">
        <v>235</v>
      </c>
    </row>
    <row r="121" spans="1:1" ht="15.75" hidden="1" x14ac:dyDescent="0.25">
      <c r="A121" s="3" t="s">
        <v>236</v>
      </c>
    </row>
    <row r="122" spans="1:1" ht="15.75" hidden="1" x14ac:dyDescent="0.25">
      <c r="A122" s="3" t="s">
        <v>238</v>
      </c>
    </row>
    <row r="123" spans="1:1" ht="15.75" hidden="1" x14ac:dyDescent="0.25">
      <c r="A123" s="3" t="s">
        <v>239</v>
      </c>
    </row>
    <row r="124" spans="1:1" ht="15.75" hidden="1" x14ac:dyDescent="0.25">
      <c r="A124" s="3" t="s">
        <v>240</v>
      </c>
    </row>
    <row r="125" spans="1:1" ht="15.75" hidden="1" x14ac:dyDescent="0.25">
      <c r="A125" s="3" t="s">
        <v>241</v>
      </c>
    </row>
    <row r="126" spans="1:1" x14ac:dyDescent="0.2">
      <c r="A126" t="s">
        <v>243</v>
      </c>
    </row>
    <row r="127" spans="1:1" x14ac:dyDescent="0.2">
      <c r="A127" t="s">
        <v>244</v>
      </c>
    </row>
    <row r="128" spans="1:1" x14ac:dyDescent="0.2">
      <c r="A128" t="s">
        <v>245</v>
      </c>
    </row>
    <row r="129" spans="1:1" x14ac:dyDescent="0.2">
      <c r="A129" t="s">
        <v>246</v>
      </c>
    </row>
    <row r="130" spans="1:1" x14ac:dyDescent="0.2">
      <c r="A130" t="s">
        <v>247</v>
      </c>
    </row>
    <row r="131" spans="1:1" x14ac:dyDescent="0.2">
      <c r="A131" t="s">
        <v>248</v>
      </c>
    </row>
    <row r="132" spans="1:1" x14ac:dyDescent="0.2">
      <c r="A132" t="s">
        <v>249</v>
      </c>
    </row>
    <row r="133" spans="1:1" x14ac:dyDescent="0.2">
      <c r="A133" t="s">
        <v>250</v>
      </c>
    </row>
    <row r="134" spans="1:1" x14ac:dyDescent="0.2">
      <c r="A134" t="s">
        <v>251</v>
      </c>
    </row>
    <row r="135" spans="1:1" x14ac:dyDescent="0.2">
      <c r="A135" t="s">
        <v>252</v>
      </c>
    </row>
    <row r="136" spans="1:1" x14ac:dyDescent="0.2">
      <c r="A136" t="s">
        <v>260</v>
      </c>
    </row>
    <row r="137" spans="1:1" x14ac:dyDescent="0.2">
      <c r="A137" t="s">
        <v>268</v>
      </c>
    </row>
    <row r="138" spans="1:1" x14ac:dyDescent="0.2">
      <c r="A138" t="s">
        <v>273</v>
      </c>
    </row>
    <row r="139" spans="1:1" ht="15.75" hidden="1" x14ac:dyDescent="0.25">
      <c r="A139" s="3" t="s">
        <v>253</v>
      </c>
    </row>
    <row r="140" spans="1:1" ht="15.75" hidden="1" x14ac:dyDescent="0.25">
      <c r="A140" s="3" t="s">
        <v>254</v>
      </c>
    </row>
    <row r="141" spans="1:1" ht="15.75" hidden="1" x14ac:dyDescent="0.25">
      <c r="A141" s="3" t="s">
        <v>255</v>
      </c>
    </row>
    <row r="142" spans="1:1" ht="15.75" hidden="1" x14ac:dyDescent="0.25">
      <c r="A142" s="3" t="s">
        <v>256</v>
      </c>
    </row>
    <row r="143" spans="1:1" ht="15.75" hidden="1" x14ac:dyDescent="0.25">
      <c r="A143" s="3" t="s">
        <v>257</v>
      </c>
    </row>
    <row r="144" spans="1:1" ht="15.75" hidden="1" x14ac:dyDescent="0.25">
      <c r="A144" s="3" t="s">
        <v>258</v>
      </c>
    </row>
    <row r="145" spans="1:1" ht="15.75" hidden="1" x14ac:dyDescent="0.25">
      <c r="A145" s="3" t="s">
        <v>259</v>
      </c>
    </row>
    <row r="146" spans="1:1" ht="15.75" hidden="1" x14ac:dyDescent="0.25">
      <c r="A146" s="3" t="s">
        <v>261</v>
      </c>
    </row>
    <row r="147" spans="1:1" ht="15.75" hidden="1" x14ac:dyDescent="0.25">
      <c r="A147" s="3" t="s">
        <v>262</v>
      </c>
    </row>
    <row r="148" spans="1:1" ht="15.75" hidden="1" x14ac:dyDescent="0.25">
      <c r="A148" s="3" t="s">
        <v>263</v>
      </c>
    </row>
    <row r="149" spans="1:1" ht="15.75" hidden="1" x14ac:dyDescent="0.25">
      <c r="A149" s="3" t="s">
        <v>264</v>
      </c>
    </row>
    <row r="150" spans="1:1" ht="15.75" hidden="1" x14ac:dyDescent="0.25">
      <c r="A150" s="3" t="s">
        <v>265</v>
      </c>
    </row>
    <row r="151" spans="1:1" ht="15.75" hidden="1" x14ac:dyDescent="0.25">
      <c r="A151" s="3" t="s">
        <v>266</v>
      </c>
    </row>
    <row r="152" spans="1:1" ht="15.75" hidden="1" x14ac:dyDescent="0.25">
      <c r="A152" s="3" t="s">
        <v>267</v>
      </c>
    </row>
    <row r="153" spans="1:1" ht="15.75" hidden="1" x14ac:dyDescent="0.25">
      <c r="A153" s="3" t="s">
        <v>269</v>
      </c>
    </row>
    <row r="154" spans="1:1" ht="15.75" hidden="1" x14ac:dyDescent="0.25">
      <c r="A154" s="3" t="s">
        <v>270</v>
      </c>
    </row>
    <row r="155" spans="1:1" ht="15.75" hidden="1" x14ac:dyDescent="0.25">
      <c r="A155" s="3" t="s">
        <v>271</v>
      </c>
    </row>
    <row r="156" spans="1:1" ht="15.75" hidden="1" x14ac:dyDescent="0.25">
      <c r="A156" s="3" t="s">
        <v>272</v>
      </c>
    </row>
    <row r="157" spans="1:1" x14ac:dyDescent="0.2">
      <c r="A157" t="s">
        <v>281</v>
      </c>
    </row>
    <row r="158" spans="1:1" x14ac:dyDescent="0.2">
      <c r="A158" t="s">
        <v>288</v>
      </c>
    </row>
    <row r="159" spans="1:1" ht="15.75" hidden="1" x14ac:dyDescent="0.25">
      <c r="A159" s="3" t="s">
        <v>274</v>
      </c>
    </row>
    <row r="160" spans="1:1" ht="15.75" hidden="1" x14ac:dyDescent="0.25">
      <c r="A160" s="3" t="s">
        <v>275</v>
      </c>
    </row>
    <row r="161" spans="1:1" ht="15.75" hidden="1" x14ac:dyDescent="0.25">
      <c r="A161" s="3" t="s">
        <v>276</v>
      </c>
    </row>
    <row r="162" spans="1:1" ht="15.75" hidden="1" x14ac:dyDescent="0.25">
      <c r="A162" s="3" t="s">
        <v>277</v>
      </c>
    </row>
    <row r="163" spans="1:1" ht="15.75" hidden="1" x14ac:dyDescent="0.25">
      <c r="A163" s="3" t="s">
        <v>278</v>
      </c>
    </row>
    <row r="164" spans="1:1" ht="15.75" hidden="1" x14ac:dyDescent="0.25">
      <c r="A164" s="3" t="s">
        <v>279</v>
      </c>
    </row>
    <row r="165" spans="1:1" ht="15.75" hidden="1" x14ac:dyDescent="0.25">
      <c r="A165" s="3" t="s">
        <v>280</v>
      </c>
    </row>
    <row r="166" spans="1:1" ht="15.75" hidden="1" x14ac:dyDescent="0.25">
      <c r="A166" s="3" t="s">
        <v>282</v>
      </c>
    </row>
    <row r="167" spans="1:1" ht="15.75" hidden="1" x14ac:dyDescent="0.25">
      <c r="A167" s="3" t="s">
        <v>283</v>
      </c>
    </row>
    <row r="168" spans="1:1" ht="15.75" hidden="1" x14ac:dyDescent="0.25">
      <c r="A168" s="3" t="s">
        <v>284</v>
      </c>
    </row>
    <row r="169" spans="1:1" ht="15.75" hidden="1" x14ac:dyDescent="0.25">
      <c r="A169" s="3" t="s">
        <v>285</v>
      </c>
    </row>
    <row r="170" spans="1:1" ht="15.75" hidden="1" x14ac:dyDescent="0.25">
      <c r="A170" s="3" t="s">
        <v>286</v>
      </c>
    </row>
    <row r="171" spans="1:1" ht="15.75" hidden="1" x14ac:dyDescent="0.25">
      <c r="A171" s="3" t="s">
        <v>287</v>
      </c>
    </row>
    <row r="172" spans="1:1" x14ac:dyDescent="0.2">
      <c r="A172" t="s">
        <v>297</v>
      </c>
    </row>
    <row r="173" spans="1:1" x14ac:dyDescent="0.2">
      <c r="A173" t="s">
        <v>303</v>
      </c>
    </row>
    <row r="174" spans="1:1" x14ac:dyDescent="0.2">
      <c r="A174" t="s">
        <v>289</v>
      </c>
    </row>
    <row r="175" spans="1:1" x14ac:dyDescent="0.2">
      <c r="A175" t="s">
        <v>290</v>
      </c>
    </row>
    <row r="176" spans="1:1" x14ac:dyDescent="0.2">
      <c r="A176" t="s">
        <v>291</v>
      </c>
    </row>
    <row r="177" spans="1:1" x14ac:dyDescent="0.2">
      <c r="A177" t="s">
        <v>292</v>
      </c>
    </row>
    <row r="178" spans="1:1" x14ac:dyDescent="0.2">
      <c r="A178" t="s">
        <v>293</v>
      </c>
    </row>
    <row r="179" spans="1:1" x14ac:dyDescent="0.2">
      <c r="A179" t="s">
        <v>294</v>
      </c>
    </row>
    <row r="180" spans="1:1" x14ac:dyDescent="0.2">
      <c r="A180" t="s">
        <v>295</v>
      </c>
    </row>
    <row r="181" spans="1:1" x14ac:dyDescent="0.2">
      <c r="A181" t="s">
        <v>296</v>
      </c>
    </row>
    <row r="182" spans="1:1" x14ac:dyDescent="0.2">
      <c r="A182" t="s">
        <v>298</v>
      </c>
    </row>
    <row r="183" spans="1:1" x14ac:dyDescent="0.2">
      <c r="A183" t="s">
        <v>299</v>
      </c>
    </row>
    <row r="184" spans="1:1" x14ac:dyDescent="0.2">
      <c r="A184" t="s">
        <v>300</v>
      </c>
    </row>
    <row r="185" spans="1:1" x14ac:dyDescent="0.2">
      <c r="A185" t="s">
        <v>301</v>
      </c>
    </row>
    <row r="186" spans="1:1" x14ac:dyDescent="0.2">
      <c r="A186" t="s">
        <v>302</v>
      </c>
    </row>
    <row r="187" spans="1:1" x14ac:dyDescent="0.2">
      <c r="A187" t="s">
        <v>304</v>
      </c>
    </row>
    <row r="188" spans="1:1" x14ac:dyDescent="0.2">
      <c r="A188" t="s">
        <v>305</v>
      </c>
    </row>
    <row r="189" spans="1:1" x14ac:dyDescent="0.2">
      <c r="A189" t="s">
        <v>306</v>
      </c>
    </row>
    <row r="190" spans="1:1" x14ac:dyDescent="0.2">
      <c r="A190" t="s">
        <v>307</v>
      </c>
    </row>
    <row r="191" spans="1:1" x14ac:dyDescent="0.2">
      <c r="A191" t="s">
        <v>308</v>
      </c>
    </row>
    <row r="192" spans="1:1" x14ac:dyDescent="0.2">
      <c r="A192" t="s">
        <v>309</v>
      </c>
    </row>
    <row r="193" spans="1:1" x14ac:dyDescent="0.2">
      <c r="A193" t="s">
        <v>310</v>
      </c>
    </row>
    <row r="194" spans="1:1" x14ac:dyDescent="0.2">
      <c r="A194" t="s">
        <v>311</v>
      </c>
    </row>
    <row r="195" spans="1:1" x14ac:dyDescent="0.2">
      <c r="A195" t="s">
        <v>312</v>
      </c>
    </row>
    <row r="196" spans="1:1" x14ac:dyDescent="0.2">
      <c r="A196" t="s">
        <v>313</v>
      </c>
    </row>
    <row r="197" spans="1:1" x14ac:dyDescent="0.2">
      <c r="A197" t="s">
        <v>314</v>
      </c>
    </row>
    <row r="198" spans="1:1" x14ac:dyDescent="0.2">
      <c r="A198" t="s">
        <v>315</v>
      </c>
    </row>
    <row r="199" spans="1:1" x14ac:dyDescent="0.2">
      <c r="A199" t="s">
        <v>316</v>
      </c>
    </row>
    <row r="200" spans="1:1" x14ac:dyDescent="0.2">
      <c r="A200" t="s">
        <v>317</v>
      </c>
    </row>
    <row r="201" spans="1:1" x14ac:dyDescent="0.2">
      <c r="A201" t="s">
        <v>318</v>
      </c>
    </row>
    <row r="202" spans="1:1" x14ac:dyDescent="0.2">
      <c r="A202" t="s">
        <v>319</v>
      </c>
    </row>
    <row r="203" spans="1:1" x14ac:dyDescent="0.2">
      <c r="A203" t="s">
        <v>320</v>
      </c>
    </row>
    <row r="204" spans="1:1" x14ac:dyDescent="0.2">
      <c r="A204" t="s">
        <v>330</v>
      </c>
    </row>
    <row r="205" spans="1:1" x14ac:dyDescent="0.2">
      <c r="A205" t="s">
        <v>332</v>
      </c>
    </row>
    <row r="206" spans="1:1" ht="15.75" hidden="1" x14ac:dyDescent="0.25">
      <c r="A206" s="3" t="s">
        <v>321</v>
      </c>
    </row>
    <row r="207" spans="1:1" ht="15.75" hidden="1" x14ac:dyDescent="0.25">
      <c r="A207" s="3" t="s">
        <v>322</v>
      </c>
    </row>
    <row r="208" spans="1:1" ht="15.75" hidden="1" x14ac:dyDescent="0.25">
      <c r="A208" s="3" t="s">
        <v>323</v>
      </c>
    </row>
    <row r="209" spans="1:1" ht="15.75" hidden="1" x14ac:dyDescent="0.25">
      <c r="A209" s="3" t="s">
        <v>324</v>
      </c>
    </row>
    <row r="210" spans="1:1" ht="15.75" hidden="1" x14ac:dyDescent="0.25">
      <c r="A210" s="3" t="s">
        <v>325</v>
      </c>
    </row>
    <row r="211" spans="1:1" ht="15.75" hidden="1" x14ac:dyDescent="0.25">
      <c r="A211" s="3" t="s">
        <v>326</v>
      </c>
    </row>
    <row r="212" spans="1:1" ht="15.75" hidden="1" x14ac:dyDescent="0.25">
      <c r="A212" s="3" t="s">
        <v>327</v>
      </c>
    </row>
    <row r="213" spans="1:1" ht="15.75" hidden="1" x14ac:dyDescent="0.25">
      <c r="A213" s="3" t="s">
        <v>328</v>
      </c>
    </row>
    <row r="214" spans="1:1" ht="15.75" hidden="1" x14ac:dyDescent="0.25">
      <c r="A214" s="3" t="s">
        <v>329</v>
      </c>
    </row>
    <row r="215" spans="1:1" ht="15.75" hidden="1" x14ac:dyDescent="0.25">
      <c r="A215" s="3" t="s">
        <v>331</v>
      </c>
    </row>
    <row r="216" spans="1:1" x14ac:dyDescent="0.2">
      <c r="A216" t="s">
        <v>341</v>
      </c>
    </row>
    <row r="217" spans="1:1" x14ac:dyDescent="0.2">
      <c r="A217" t="s">
        <v>341</v>
      </c>
    </row>
    <row r="218" spans="1:1" x14ac:dyDescent="0.2">
      <c r="A218" t="s">
        <v>344</v>
      </c>
    </row>
    <row r="219" spans="1:1" x14ac:dyDescent="0.2">
      <c r="A219" t="s">
        <v>344</v>
      </c>
    </row>
    <row r="220" spans="1:1" ht="15.75" hidden="1" x14ac:dyDescent="0.25">
      <c r="A220" s="3" t="s">
        <v>333</v>
      </c>
    </row>
    <row r="221" spans="1:1" ht="15.75" hidden="1" x14ac:dyDescent="0.25">
      <c r="A221" s="3" t="s">
        <v>333</v>
      </c>
    </row>
    <row r="222" spans="1:1" ht="15.75" hidden="1" x14ac:dyDescent="0.25">
      <c r="A222" s="3" t="s">
        <v>334</v>
      </c>
    </row>
    <row r="223" spans="1:1" ht="15.75" hidden="1" x14ac:dyDescent="0.25">
      <c r="A223" s="3" t="s">
        <v>334</v>
      </c>
    </row>
    <row r="224" spans="1:1" ht="15.75" hidden="1" x14ac:dyDescent="0.25">
      <c r="A224" s="3" t="s">
        <v>335</v>
      </c>
    </row>
    <row r="225" spans="1:1" ht="15.75" hidden="1" x14ac:dyDescent="0.25">
      <c r="A225" s="3" t="s">
        <v>335</v>
      </c>
    </row>
    <row r="226" spans="1:1" ht="15.75" hidden="1" x14ac:dyDescent="0.25">
      <c r="A226" s="3" t="s">
        <v>560</v>
      </c>
    </row>
    <row r="227" spans="1:1" ht="15.75" hidden="1" x14ac:dyDescent="0.25">
      <c r="A227" s="3" t="s">
        <v>560</v>
      </c>
    </row>
    <row r="228" spans="1:1" ht="15.75" hidden="1" x14ac:dyDescent="0.25">
      <c r="A228" s="3" t="s">
        <v>336</v>
      </c>
    </row>
    <row r="229" spans="1:1" ht="15.75" hidden="1" x14ac:dyDescent="0.25">
      <c r="A229" s="3" t="s">
        <v>336</v>
      </c>
    </row>
    <row r="230" spans="1:1" ht="15.75" hidden="1" x14ac:dyDescent="0.25">
      <c r="A230" s="3" t="s">
        <v>337</v>
      </c>
    </row>
    <row r="231" spans="1:1" ht="15.75" hidden="1" x14ac:dyDescent="0.25">
      <c r="A231" s="3" t="s">
        <v>337</v>
      </c>
    </row>
    <row r="232" spans="1:1" ht="15.75" hidden="1" x14ac:dyDescent="0.25">
      <c r="A232" s="3" t="s">
        <v>338</v>
      </c>
    </row>
    <row r="233" spans="1:1" ht="15.75" hidden="1" x14ac:dyDescent="0.25">
      <c r="A233" s="3" t="s">
        <v>338</v>
      </c>
    </row>
    <row r="234" spans="1:1" ht="15.75" hidden="1" x14ac:dyDescent="0.25">
      <c r="A234" s="3" t="s">
        <v>339</v>
      </c>
    </row>
    <row r="235" spans="1:1" ht="15.75" hidden="1" x14ac:dyDescent="0.25">
      <c r="A235" s="3" t="s">
        <v>339</v>
      </c>
    </row>
    <row r="236" spans="1:1" ht="15.75" hidden="1" x14ac:dyDescent="0.25">
      <c r="A236" s="3" t="s">
        <v>340</v>
      </c>
    </row>
    <row r="237" spans="1:1" ht="15.75" hidden="1" x14ac:dyDescent="0.25">
      <c r="A237" s="3" t="s">
        <v>340</v>
      </c>
    </row>
    <row r="238" spans="1:1" ht="15.75" hidden="1" x14ac:dyDescent="0.25">
      <c r="A238" s="3" t="s">
        <v>342</v>
      </c>
    </row>
    <row r="239" spans="1:1" ht="15.75" hidden="1" x14ac:dyDescent="0.25">
      <c r="A239" s="3" t="s">
        <v>342</v>
      </c>
    </row>
    <row r="240" spans="1:1" ht="15.75" hidden="1" x14ac:dyDescent="0.25">
      <c r="A240" s="3" t="s">
        <v>343</v>
      </c>
    </row>
    <row r="241" spans="1:1" ht="15.75" hidden="1" x14ac:dyDescent="0.25">
      <c r="A241" s="3" t="s">
        <v>343</v>
      </c>
    </row>
    <row r="242" spans="1:1" x14ac:dyDescent="0.2">
      <c r="A242" t="s">
        <v>345</v>
      </c>
    </row>
    <row r="243" spans="1:1" x14ac:dyDescent="0.2">
      <c r="A243" t="s">
        <v>346</v>
      </c>
    </row>
    <row r="244" spans="1:1" x14ac:dyDescent="0.2">
      <c r="A244" t="s">
        <v>347</v>
      </c>
    </row>
    <row r="245" spans="1:1" x14ac:dyDescent="0.2">
      <c r="A245" t="s">
        <v>348</v>
      </c>
    </row>
    <row r="246" spans="1:1" x14ac:dyDescent="0.2">
      <c r="A246" t="s">
        <v>349</v>
      </c>
    </row>
    <row r="247" spans="1:1" x14ac:dyDescent="0.2">
      <c r="A247" t="s">
        <v>350</v>
      </c>
    </row>
    <row r="248" spans="1:1" x14ac:dyDescent="0.2">
      <c r="A248" t="s">
        <v>351</v>
      </c>
    </row>
    <row r="249" spans="1:1" x14ac:dyDescent="0.2">
      <c r="A249" t="s">
        <v>352</v>
      </c>
    </row>
    <row r="250" spans="1:1" x14ac:dyDescent="0.2">
      <c r="A250" t="s">
        <v>353</v>
      </c>
    </row>
    <row r="251" spans="1:1" x14ac:dyDescent="0.2">
      <c r="A251" t="s">
        <v>354</v>
      </c>
    </row>
    <row r="252" spans="1:1" x14ac:dyDescent="0.2">
      <c r="A252" t="s">
        <v>355</v>
      </c>
    </row>
    <row r="253" spans="1:1" x14ac:dyDescent="0.2">
      <c r="A253" t="s">
        <v>356</v>
      </c>
    </row>
    <row r="254" spans="1:1" x14ac:dyDescent="0.2">
      <c r="A254" t="s">
        <v>43</v>
      </c>
    </row>
    <row r="255" spans="1:1" x14ac:dyDescent="0.2">
      <c r="A255" t="s">
        <v>358</v>
      </c>
    </row>
    <row r="256" spans="1:1" x14ac:dyDescent="0.2">
      <c r="A256" t="s">
        <v>359</v>
      </c>
    </row>
    <row r="257" spans="1:1" x14ac:dyDescent="0.2">
      <c r="A257" t="s">
        <v>47</v>
      </c>
    </row>
    <row r="258" spans="1:1" x14ac:dyDescent="0.2">
      <c r="A258" t="s">
        <v>360</v>
      </c>
    </row>
    <row r="259" spans="1:1" x14ac:dyDescent="0.2">
      <c r="A259" t="s">
        <v>361</v>
      </c>
    </row>
    <row r="260" spans="1:1" x14ac:dyDescent="0.2">
      <c r="A260" t="s">
        <v>362</v>
      </c>
    </row>
    <row r="261" spans="1:1" x14ac:dyDescent="0.2">
      <c r="A261" t="s">
        <v>362</v>
      </c>
    </row>
    <row r="262" spans="1:1" x14ac:dyDescent="0.2">
      <c r="A262" t="s">
        <v>363</v>
      </c>
    </row>
    <row r="263" spans="1:1" x14ac:dyDescent="0.2">
      <c r="A263" t="s">
        <v>364</v>
      </c>
    </row>
    <row r="264" spans="1:1" x14ac:dyDescent="0.2">
      <c r="A264" t="s">
        <v>365</v>
      </c>
    </row>
    <row r="265" spans="1:1" x14ac:dyDescent="0.2">
      <c r="A265" t="s">
        <v>366</v>
      </c>
    </row>
    <row r="266" spans="1:1" x14ac:dyDescent="0.2">
      <c r="A266" t="s">
        <v>367</v>
      </c>
    </row>
    <row r="267" spans="1:1" x14ac:dyDescent="0.2">
      <c r="A267" t="s">
        <v>368</v>
      </c>
    </row>
    <row r="268" spans="1:1" x14ac:dyDescent="0.2">
      <c r="A268" t="s">
        <v>369</v>
      </c>
    </row>
    <row r="269" spans="1:1" x14ac:dyDescent="0.2">
      <c r="A269" t="s">
        <v>370</v>
      </c>
    </row>
    <row r="270" spans="1:1" x14ac:dyDescent="0.2">
      <c r="A270" t="s">
        <v>371</v>
      </c>
    </row>
    <row r="271" spans="1:1" x14ac:dyDescent="0.2">
      <c r="A271" t="s">
        <v>372</v>
      </c>
    </row>
    <row r="272" spans="1:1" x14ac:dyDescent="0.2">
      <c r="A272" t="s">
        <v>373</v>
      </c>
    </row>
    <row r="273" spans="1:1" x14ac:dyDescent="0.2">
      <c r="A273" t="s">
        <v>374</v>
      </c>
    </row>
    <row r="274" spans="1:1" x14ac:dyDescent="0.2">
      <c r="A274" t="s">
        <v>375</v>
      </c>
    </row>
    <row r="275" spans="1:1" x14ac:dyDescent="0.2">
      <c r="A275" t="s">
        <v>376</v>
      </c>
    </row>
    <row r="276" spans="1:1" x14ac:dyDescent="0.2">
      <c r="A276" t="s">
        <v>377</v>
      </c>
    </row>
    <row r="277" spans="1:1" x14ac:dyDescent="0.2">
      <c r="A277" t="s">
        <v>378</v>
      </c>
    </row>
    <row r="278" spans="1:1" x14ac:dyDescent="0.2">
      <c r="A278" t="s">
        <v>379</v>
      </c>
    </row>
    <row r="279" spans="1:1" x14ac:dyDescent="0.2">
      <c r="A279" t="s">
        <v>380</v>
      </c>
    </row>
    <row r="280" spans="1:1" x14ac:dyDescent="0.2">
      <c r="A280" t="s">
        <v>381</v>
      </c>
    </row>
    <row r="281" spans="1:1" x14ac:dyDescent="0.2">
      <c r="A281" t="s">
        <v>382</v>
      </c>
    </row>
    <row r="282" spans="1:1" x14ac:dyDescent="0.2">
      <c r="A282" t="s">
        <v>383</v>
      </c>
    </row>
    <row r="283" spans="1:1" x14ac:dyDescent="0.2">
      <c r="A283" t="s">
        <v>384</v>
      </c>
    </row>
    <row r="284" spans="1:1" x14ac:dyDescent="0.2">
      <c r="A284" t="s">
        <v>385</v>
      </c>
    </row>
    <row r="285" spans="1:1" x14ac:dyDescent="0.2">
      <c r="A285" t="s">
        <v>386</v>
      </c>
    </row>
    <row r="286" spans="1:1" x14ac:dyDescent="0.2">
      <c r="A286" t="s">
        <v>387</v>
      </c>
    </row>
    <row r="287" spans="1:1" x14ac:dyDescent="0.2">
      <c r="A287" t="s">
        <v>388</v>
      </c>
    </row>
    <row r="288" spans="1:1" x14ac:dyDescent="0.2">
      <c r="A288" t="s">
        <v>389</v>
      </c>
    </row>
    <row r="289" spans="1:1" x14ac:dyDescent="0.2">
      <c r="A289" t="s">
        <v>390</v>
      </c>
    </row>
    <row r="290" spans="1:1" x14ac:dyDescent="0.2">
      <c r="A290" t="s">
        <v>391</v>
      </c>
    </row>
    <row r="291" spans="1:1" x14ac:dyDescent="0.2">
      <c r="A291" t="s">
        <v>392</v>
      </c>
    </row>
    <row r="292" spans="1:1" x14ac:dyDescent="0.2">
      <c r="A292" t="s">
        <v>393</v>
      </c>
    </row>
    <row r="293" spans="1:1" x14ac:dyDescent="0.2">
      <c r="A293" t="s">
        <v>394</v>
      </c>
    </row>
    <row r="294" spans="1:1" x14ac:dyDescent="0.2">
      <c r="A294" t="s">
        <v>395</v>
      </c>
    </row>
    <row r="295" spans="1:1" x14ac:dyDescent="0.2">
      <c r="A295" t="s">
        <v>396</v>
      </c>
    </row>
    <row r="296" spans="1:1" x14ac:dyDescent="0.2">
      <c r="A296" t="s">
        <v>397</v>
      </c>
    </row>
    <row r="297" spans="1:1" x14ac:dyDescent="0.2">
      <c r="A297" t="s">
        <v>398</v>
      </c>
    </row>
    <row r="298" spans="1:1" x14ac:dyDescent="0.2">
      <c r="A298" t="s">
        <v>399</v>
      </c>
    </row>
    <row r="299" spans="1:1" x14ac:dyDescent="0.2">
      <c r="A299" t="s">
        <v>400</v>
      </c>
    </row>
    <row r="300" spans="1:1" x14ac:dyDescent="0.2">
      <c r="A300" t="s">
        <v>401</v>
      </c>
    </row>
    <row r="301" spans="1:1" x14ac:dyDescent="0.2">
      <c r="A301" t="s">
        <v>402</v>
      </c>
    </row>
    <row r="302" spans="1:1" x14ac:dyDescent="0.2">
      <c r="A302" t="s">
        <v>403</v>
      </c>
    </row>
    <row r="303" spans="1:1" x14ac:dyDescent="0.2">
      <c r="A303" t="s">
        <v>404</v>
      </c>
    </row>
    <row r="304" spans="1:1" x14ac:dyDescent="0.2">
      <c r="A304" t="s">
        <v>405</v>
      </c>
    </row>
    <row r="305" spans="1:1" x14ac:dyDescent="0.2">
      <c r="A305" t="s">
        <v>406</v>
      </c>
    </row>
    <row r="306" spans="1:1" x14ac:dyDescent="0.2">
      <c r="A306" t="s">
        <v>63</v>
      </c>
    </row>
    <row r="307" spans="1:1" x14ac:dyDescent="0.2">
      <c r="A307" t="s">
        <v>407</v>
      </c>
    </row>
    <row r="308" spans="1:1" x14ac:dyDescent="0.2">
      <c r="A308" t="s">
        <v>408</v>
      </c>
    </row>
    <row r="309" spans="1:1" x14ac:dyDescent="0.2">
      <c r="A309" t="s">
        <v>409</v>
      </c>
    </row>
    <row r="310" spans="1:1" x14ac:dyDescent="0.2">
      <c r="A310" t="s">
        <v>410</v>
      </c>
    </row>
    <row r="311" spans="1:1" x14ac:dyDescent="0.2">
      <c r="A311" t="s">
        <v>411</v>
      </c>
    </row>
    <row r="312" spans="1:1" x14ac:dyDescent="0.2">
      <c r="A312" t="s">
        <v>412</v>
      </c>
    </row>
    <row r="313" spans="1:1" x14ac:dyDescent="0.2">
      <c r="A313" t="s">
        <v>413</v>
      </c>
    </row>
    <row r="314" spans="1:1" x14ac:dyDescent="0.2">
      <c r="A314" t="s">
        <v>414</v>
      </c>
    </row>
    <row r="315" spans="1:1" x14ac:dyDescent="0.2">
      <c r="A315" t="s">
        <v>415</v>
      </c>
    </row>
    <row r="316" spans="1:1" x14ac:dyDescent="0.2">
      <c r="A316" t="s">
        <v>416</v>
      </c>
    </row>
    <row r="317" spans="1:1" x14ac:dyDescent="0.2">
      <c r="A317" t="s">
        <v>417</v>
      </c>
    </row>
    <row r="318" spans="1:1" x14ac:dyDescent="0.2">
      <c r="A318" t="s">
        <v>418</v>
      </c>
    </row>
    <row r="319" spans="1:1" x14ac:dyDescent="0.2">
      <c r="A319" t="s">
        <v>74</v>
      </c>
    </row>
    <row r="320" spans="1:1" x14ac:dyDescent="0.2">
      <c r="A320" t="s">
        <v>419</v>
      </c>
    </row>
    <row r="321" spans="1:1" x14ac:dyDescent="0.2">
      <c r="A321" t="s">
        <v>420</v>
      </c>
    </row>
    <row r="322" spans="1:1" x14ac:dyDescent="0.2">
      <c r="A322" t="s">
        <v>77</v>
      </c>
    </row>
    <row r="323" spans="1:1" x14ac:dyDescent="0.2">
      <c r="A323" t="s">
        <v>421</v>
      </c>
    </row>
    <row r="324" spans="1:1" x14ac:dyDescent="0.2">
      <c r="A324" t="s">
        <v>422</v>
      </c>
    </row>
    <row r="325" spans="1:1" x14ac:dyDescent="0.2">
      <c r="A325" t="s">
        <v>425</v>
      </c>
    </row>
    <row r="326" spans="1:1" x14ac:dyDescent="0.2">
      <c r="A326" t="s">
        <v>423</v>
      </c>
    </row>
    <row r="327" spans="1:1" x14ac:dyDescent="0.2">
      <c r="A327" t="s">
        <v>424</v>
      </c>
    </row>
    <row r="328" spans="1:1" x14ac:dyDescent="0.2">
      <c r="A328" t="s">
        <v>426</v>
      </c>
    </row>
    <row r="329" spans="1:1" x14ac:dyDescent="0.2">
      <c r="A329" t="s">
        <v>427</v>
      </c>
    </row>
    <row r="330" spans="1:1" x14ac:dyDescent="0.2">
      <c r="A330" t="s">
        <v>428</v>
      </c>
    </row>
    <row r="331" spans="1:1" x14ac:dyDescent="0.2">
      <c r="A331" t="s">
        <v>429</v>
      </c>
    </row>
    <row r="332" spans="1:1" x14ac:dyDescent="0.2">
      <c r="A332" t="s">
        <v>430</v>
      </c>
    </row>
    <row r="333" spans="1:1" x14ac:dyDescent="0.2">
      <c r="A333" t="s">
        <v>431</v>
      </c>
    </row>
    <row r="334" spans="1:1" x14ac:dyDescent="0.2">
      <c r="A334" t="s">
        <v>432</v>
      </c>
    </row>
    <row r="335" spans="1:1" x14ac:dyDescent="0.2">
      <c r="A335" t="s">
        <v>433</v>
      </c>
    </row>
    <row r="336" spans="1:1" x14ac:dyDescent="0.2">
      <c r="A336" t="s">
        <v>434</v>
      </c>
    </row>
    <row r="337" spans="1:1" x14ac:dyDescent="0.2">
      <c r="A337" t="s">
        <v>435</v>
      </c>
    </row>
    <row r="338" spans="1:1" x14ac:dyDescent="0.2">
      <c r="A338" t="s">
        <v>436</v>
      </c>
    </row>
    <row r="339" spans="1:1" x14ac:dyDescent="0.2">
      <c r="A339" t="s">
        <v>437</v>
      </c>
    </row>
    <row r="340" spans="1:1" x14ac:dyDescent="0.2">
      <c r="A340" t="s">
        <v>438</v>
      </c>
    </row>
    <row r="341" spans="1:1" x14ac:dyDescent="0.2">
      <c r="A341" t="s">
        <v>439</v>
      </c>
    </row>
    <row r="342" spans="1:1" x14ac:dyDescent="0.2">
      <c r="A342" t="s">
        <v>440</v>
      </c>
    </row>
    <row r="343" spans="1:1" x14ac:dyDescent="0.2">
      <c r="A343" t="s">
        <v>441</v>
      </c>
    </row>
    <row r="344" spans="1:1" x14ac:dyDescent="0.2">
      <c r="A344" t="s">
        <v>442</v>
      </c>
    </row>
    <row r="345" spans="1:1" x14ac:dyDescent="0.2">
      <c r="A345" t="s">
        <v>443</v>
      </c>
    </row>
    <row r="346" spans="1:1" x14ac:dyDescent="0.2">
      <c r="A346" t="s">
        <v>444</v>
      </c>
    </row>
    <row r="347" spans="1:1" x14ac:dyDescent="0.2">
      <c r="A347" t="s">
        <v>445</v>
      </c>
    </row>
    <row r="348" spans="1:1" x14ac:dyDescent="0.2">
      <c r="A348" t="s">
        <v>446</v>
      </c>
    </row>
    <row r="349" spans="1:1" x14ac:dyDescent="0.2">
      <c r="A349" t="s">
        <v>447</v>
      </c>
    </row>
    <row r="350" spans="1:1" x14ac:dyDescent="0.2">
      <c r="A350" t="s">
        <v>448</v>
      </c>
    </row>
    <row r="351" spans="1:1" x14ac:dyDescent="0.2">
      <c r="A351" t="s">
        <v>449</v>
      </c>
    </row>
    <row r="352" spans="1:1" x14ac:dyDescent="0.2">
      <c r="A352" t="s">
        <v>450</v>
      </c>
    </row>
    <row r="353" spans="1:1" x14ac:dyDescent="0.2">
      <c r="A353" t="s">
        <v>451</v>
      </c>
    </row>
    <row r="354" spans="1:1" x14ac:dyDescent="0.2">
      <c r="A354" t="s">
        <v>452</v>
      </c>
    </row>
    <row r="355" spans="1:1" x14ac:dyDescent="0.2">
      <c r="A355" t="s">
        <v>453</v>
      </c>
    </row>
    <row r="356" spans="1:1" x14ac:dyDescent="0.2">
      <c r="A356" t="s">
        <v>454</v>
      </c>
    </row>
    <row r="357" spans="1:1" x14ac:dyDescent="0.2">
      <c r="A357" t="s">
        <v>455</v>
      </c>
    </row>
    <row r="358" spans="1:1" x14ac:dyDescent="0.2">
      <c r="A358" t="s">
        <v>456</v>
      </c>
    </row>
    <row r="359" spans="1:1" x14ac:dyDescent="0.2">
      <c r="A359" t="s">
        <v>457</v>
      </c>
    </row>
    <row r="360" spans="1:1" x14ac:dyDescent="0.2">
      <c r="A360" t="s">
        <v>458</v>
      </c>
    </row>
    <row r="361" spans="1:1" x14ac:dyDescent="0.2">
      <c r="A361" t="s">
        <v>459</v>
      </c>
    </row>
    <row r="362" spans="1:1" x14ac:dyDescent="0.2">
      <c r="A362" t="s">
        <v>460</v>
      </c>
    </row>
    <row r="363" spans="1:1" x14ac:dyDescent="0.2">
      <c r="A363" t="s">
        <v>461</v>
      </c>
    </row>
    <row r="364" spans="1:1" x14ac:dyDescent="0.2">
      <c r="A364" t="s">
        <v>462</v>
      </c>
    </row>
    <row r="365" spans="1:1" x14ac:dyDescent="0.2">
      <c r="A365" t="s">
        <v>463</v>
      </c>
    </row>
    <row r="366" spans="1:1" x14ac:dyDescent="0.2">
      <c r="A366" t="s">
        <v>464</v>
      </c>
    </row>
    <row r="367" spans="1:1" x14ac:dyDescent="0.2">
      <c r="A367" t="s">
        <v>465</v>
      </c>
    </row>
    <row r="368" spans="1:1" x14ac:dyDescent="0.2">
      <c r="A368" t="s">
        <v>466</v>
      </c>
    </row>
    <row r="369" spans="1:1" x14ac:dyDescent="0.2">
      <c r="A369" t="s">
        <v>467</v>
      </c>
    </row>
    <row r="370" spans="1:1" x14ac:dyDescent="0.2">
      <c r="A370" t="s">
        <v>468</v>
      </c>
    </row>
    <row r="371" spans="1:1" x14ac:dyDescent="0.2">
      <c r="A371" t="s">
        <v>469</v>
      </c>
    </row>
    <row r="372" spans="1:1" x14ac:dyDescent="0.2">
      <c r="A372" t="s">
        <v>470</v>
      </c>
    </row>
    <row r="373" spans="1:1" x14ac:dyDescent="0.2">
      <c r="A373" t="s">
        <v>471</v>
      </c>
    </row>
    <row r="374" spans="1:1" x14ac:dyDescent="0.2">
      <c r="A374" t="s">
        <v>472</v>
      </c>
    </row>
    <row r="375" spans="1:1" x14ac:dyDescent="0.2">
      <c r="A375" t="s">
        <v>473</v>
      </c>
    </row>
    <row r="376" spans="1:1" x14ac:dyDescent="0.2">
      <c r="A376" t="s">
        <v>474</v>
      </c>
    </row>
    <row r="377" spans="1:1" x14ac:dyDescent="0.2">
      <c r="A377" t="s">
        <v>92</v>
      </c>
    </row>
    <row r="378" spans="1:1" x14ac:dyDescent="0.2">
      <c r="A378" t="s">
        <v>475</v>
      </c>
    </row>
    <row r="379" spans="1:1" x14ac:dyDescent="0.2">
      <c r="A379" t="s">
        <v>476</v>
      </c>
    </row>
    <row r="380" spans="1:1" x14ac:dyDescent="0.2">
      <c r="A380" t="s">
        <v>96</v>
      </c>
    </row>
    <row r="381" spans="1:1" x14ac:dyDescent="0.2">
      <c r="A381" t="s">
        <v>477</v>
      </c>
    </row>
    <row r="382" spans="1:1" x14ac:dyDescent="0.2">
      <c r="A382" t="s">
        <v>98</v>
      </c>
    </row>
    <row r="383" spans="1:1" x14ac:dyDescent="0.2">
      <c r="A383" t="s">
        <v>478</v>
      </c>
    </row>
    <row r="384" spans="1:1" x14ac:dyDescent="0.2">
      <c r="A384" t="s">
        <v>479</v>
      </c>
    </row>
    <row r="385" spans="1:1" x14ac:dyDescent="0.2">
      <c r="A385" t="s">
        <v>480</v>
      </c>
    </row>
    <row r="386" spans="1:1" x14ac:dyDescent="0.2">
      <c r="A386" t="s">
        <v>481</v>
      </c>
    </row>
    <row r="387" spans="1:1" x14ac:dyDescent="0.2">
      <c r="A387" t="s">
        <v>482</v>
      </c>
    </row>
    <row r="388" spans="1:1" x14ac:dyDescent="0.2">
      <c r="A388" t="s">
        <v>483</v>
      </c>
    </row>
    <row r="389" spans="1:1" x14ac:dyDescent="0.2">
      <c r="A389" t="s">
        <v>484</v>
      </c>
    </row>
    <row r="390" spans="1:1" x14ac:dyDescent="0.2">
      <c r="A390" t="s">
        <v>485</v>
      </c>
    </row>
    <row r="391" spans="1:1" x14ac:dyDescent="0.2">
      <c r="A391" t="s">
        <v>486</v>
      </c>
    </row>
    <row r="392" spans="1:1" x14ac:dyDescent="0.2">
      <c r="A392" t="s">
        <v>487</v>
      </c>
    </row>
    <row r="393" spans="1:1" x14ac:dyDescent="0.2">
      <c r="A393" t="s">
        <v>488</v>
      </c>
    </row>
    <row r="394" spans="1:1" x14ac:dyDescent="0.2">
      <c r="A394" t="s">
        <v>489</v>
      </c>
    </row>
    <row r="395" spans="1:1" x14ac:dyDescent="0.2">
      <c r="A395" t="s">
        <v>490</v>
      </c>
    </row>
    <row r="396" spans="1:1" x14ac:dyDescent="0.2">
      <c r="A396" t="s">
        <v>491</v>
      </c>
    </row>
    <row r="397" spans="1:1" x14ac:dyDescent="0.2">
      <c r="A397" t="s">
        <v>492</v>
      </c>
    </row>
    <row r="398" spans="1:1" x14ac:dyDescent="0.2">
      <c r="A398" t="s">
        <v>493</v>
      </c>
    </row>
    <row r="399" spans="1:1" x14ac:dyDescent="0.2">
      <c r="A399" t="s">
        <v>494</v>
      </c>
    </row>
    <row r="400" spans="1:1" x14ac:dyDescent="0.2">
      <c r="A400" t="s">
        <v>495</v>
      </c>
    </row>
    <row r="401" spans="1:1" x14ac:dyDescent="0.2">
      <c r="A401" t="s">
        <v>496</v>
      </c>
    </row>
    <row r="402" spans="1:1" x14ac:dyDescent="0.2">
      <c r="A402" t="s">
        <v>497</v>
      </c>
    </row>
    <row r="403" spans="1:1" x14ac:dyDescent="0.2">
      <c r="A403" t="s">
        <v>498</v>
      </c>
    </row>
    <row r="404" spans="1:1" x14ac:dyDescent="0.2">
      <c r="A404" t="s">
        <v>499</v>
      </c>
    </row>
    <row r="405" spans="1:1" x14ac:dyDescent="0.2">
      <c r="A405" t="s">
        <v>500</v>
      </c>
    </row>
    <row r="406" spans="1:1" x14ac:dyDescent="0.2">
      <c r="A406" t="s">
        <v>501</v>
      </c>
    </row>
    <row r="407" spans="1:1" x14ac:dyDescent="0.2">
      <c r="A407" t="s">
        <v>502</v>
      </c>
    </row>
    <row r="408" spans="1:1" x14ac:dyDescent="0.2">
      <c r="A408" t="s">
        <v>503</v>
      </c>
    </row>
    <row r="409" spans="1:1" x14ac:dyDescent="0.2">
      <c r="A409" t="s">
        <v>504</v>
      </c>
    </row>
    <row r="410" spans="1:1" x14ac:dyDescent="0.2">
      <c r="A410" t="s">
        <v>505</v>
      </c>
    </row>
    <row r="411" spans="1:1" x14ac:dyDescent="0.2">
      <c r="A411" t="s">
        <v>506</v>
      </c>
    </row>
    <row r="412" spans="1:1" x14ac:dyDescent="0.2">
      <c r="A412" t="s">
        <v>515</v>
      </c>
    </row>
    <row r="413" spans="1:1" x14ac:dyDescent="0.2">
      <c r="A413" t="s">
        <v>515</v>
      </c>
    </row>
    <row r="414" spans="1:1" ht="15.75" hidden="1" x14ac:dyDescent="0.25">
      <c r="A414" s="3" t="s">
        <v>507</v>
      </c>
    </row>
    <row r="415" spans="1:1" ht="15.75" hidden="1" x14ac:dyDescent="0.25">
      <c r="A415" s="3" t="s">
        <v>508</v>
      </c>
    </row>
    <row r="416" spans="1:1" ht="15.75" hidden="1" x14ac:dyDescent="0.25">
      <c r="A416" s="3" t="s">
        <v>509</v>
      </c>
    </row>
    <row r="417" spans="1:1" ht="15.75" hidden="1" x14ac:dyDescent="0.25">
      <c r="A417" s="3" t="s">
        <v>510</v>
      </c>
    </row>
    <row r="418" spans="1:1" ht="15.75" hidden="1" x14ac:dyDescent="0.25">
      <c r="A418" s="3" t="s">
        <v>511</v>
      </c>
    </row>
    <row r="419" spans="1:1" ht="15.75" hidden="1" x14ac:dyDescent="0.25">
      <c r="A419" s="3" t="s">
        <v>512</v>
      </c>
    </row>
    <row r="420" spans="1:1" ht="15.75" hidden="1" x14ac:dyDescent="0.25">
      <c r="A420" s="3" t="s">
        <v>513</v>
      </c>
    </row>
    <row r="421" spans="1:1" ht="15.75" hidden="1" x14ac:dyDescent="0.25">
      <c r="A421" s="3" t="s">
        <v>514</v>
      </c>
    </row>
    <row r="422" spans="1:1" x14ac:dyDescent="0.2">
      <c r="A422" t="s">
        <v>516</v>
      </c>
    </row>
    <row r="423" spans="1:1" x14ac:dyDescent="0.2">
      <c r="A423" t="s">
        <v>517</v>
      </c>
    </row>
    <row r="424" spans="1:1" x14ac:dyDescent="0.2">
      <c r="A424" t="s">
        <v>518</v>
      </c>
    </row>
    <row r="425" spans="1:1" x14ac:dyDescent="0.2">
      <c r="A425" t="s">
        <v>519</v>
      </c>
    </row>
    <row r="426" spans="1:1" x14ac:dyDescent="0.2">
      <c r="A426" t="s">
        <v>520</v>
      </c>
    </row>
    <row r="427" spans="1:1" x14ac:dyDescent="0.2">
      <c r="A427" t="s">
        <v>521</v>
      </c>
    </row>
    <row r="428" spans="1:1" x14ac:dyDescent="0.2">
      <c r="A428" t="s">
        <v>522</v>
      </c>
    </row>
    <row r="429" spans="1:1" x14ac:dyDescent="0.2">
      <c r="A429" t="s">
        <v>523</v>
      </c>
    </row>
    <row r="430" spans="1:1" x14ac:dyDescent="0.2">
      <c r="A430" t="s">
        <v>524</v>
      </c>
    </row>
    <row r="431" spans="1:1" x14ac:dyDescent="0.2">
      <c r="A431" t="s">
        <v>525</v>
      </c>
    </row>
    <row r="432" spans="1:1" x14ac:dyDescent="0.2">
      <c r="A432" t="s">
        <v>526</v>
      </c>
    </row>
    <row r="433" spans="1:1" x14ac:dyDescent="0.2">
      <c r="A433" t="s">
        <v>527</v>
      </c>
    </row>
    <row r="434" spans="1:1" x14ac:dyDescent="0.2">
      <c r="A434" t="s">
        <v>528</v>
      </c>
    </row>
    <row r="435" spans="1:1" x14ac:dyDescent="0.2">
      <c r="A435" t="s">
        <v>529</v>
      </c>
    </row>
    <row r="436" spans="1:1" x14ac:dyDescent="0.2">
      <c r="A436" t="s">
        <v>109</v>
      </c>
    </row>
    <row r="437" spans="1:1" x14ac:dyDescent="0.2">
      <c r="A437" t="s">
        <v>530</v>
      </c>
    </row>
    <row r="438" spans="1:1" x14ac:dyDescent="0.2">
      <c r="A438" t="s">
        <v>531</v>
      </c>
    </row>
    <row r="439" spans="1:1" x14ac:dyDescent="0.2">
      <c r="A439" t="s">
        <v>532</v>
      </c>
    </row>
    <row r="440" spans="1:1" x14ac:dyDescent="0.2">
      <c r="A440" t="s">
        <v>533</v>
      </c>
    </row>
    <row r="441" spans="1:1" x14ac:dyDescent="0.2">
      <c r="A441" t="s">
        <v>534</v>
      </c>
    </row>
    <row r="442" spans="1:1" x14ac:dyDescent="0.2">
      <c r="A442" t="s">
        <v>535</v>
      </c>
    </row>
    <row r="443" spans="1:1" x14ac:dyDescent="0.2">
      <c r="A443" t="s">
        <v>536</v>
      </c>
    </row>
    <row r="444" spans="1:1" x14ac:dyDescent="0.2">
      <c r="A444" t="s">
        <v>537</v>
      </c>
    </row>
    <row r="445" spans="1:1" x14ac:dyDescent="0.2">
      <c r="A445" t="s">
        <v>114</v>
      </c>
    </row>
    <row r="446" spans="1:1" x14ac:dyDescent="0.2">
      <c r="A446" t="s">
        <v>538</v>
      </c>
    </row>
    <row r="447" spans="1:1" x14ac:dyDescent="0.2">
      <c r="A447" t="s">
        <v>539</v>
      </c>
    </row>
    <row r="448" spans="1:1" x14ac:dyDescent="0.2">
      <c r="A448" t="s">
        <v>540</v>
      </c>
    </row>
    <row r="449" spans="1:1" x14ac:dyDescent="0.2">
      <c r="A449" t="s">
        <v>541</v>
      </c>
    </row>
    <row r="450" spans="1:1" x14ac:dyDescent="0.2">
      <c r="A450" t="s">
        <v>118</v>
      </c>
    </row>
    <row r="451" spans="1:1" x14ac:dyDescent="0.2">
      <c r="A451" t="s">
        <v>542</v>
      </c>
    </row>
    <row r="452" spans="1:1" x14ac:dyDescent="0.2">
      <c r="A452" t="s">
        <v>543</v>
      </c>
    </row>
    <row r="453" spans="1:1" x14ac:dyDescent="0.2">
      <c r="A453" t="s">
        <v>544</v>
      </c>
    </row>
    <row r="454" spans="1:1" x14ac:dyDescent="0.2">
      <c r="A454" t="s">
        <v>545</v>
      </c>
    </row>
    <row r="455" spans="1:1" x14ac:dyDescent="0.2">
      <c r="A455" t="s">
        <v>546</v>
      </c>
    </row>
    <row r="456" spans="1:1" x14ac:dyDescent="0.2">
      <c r="A456" t="s">
        <v>547</v>
      </c>
    </row>
    <row r="457" spans="1:1" x14ac:dyDescent="0.2">
      <c r="A457" t="s">
        <v>548</v>
      </c>
    </row>
    <row r="458" spans="1:1" x14ac:dyDescent="0.2">
      <c r="A458" t="s">
        <v>549</v>
      </c>
    </row>
    <row r="459" spans="1:1" x14ac:dyDescent="0.2">
      <c r="A459" t="s">
        <v>550</v>
      </c>
    </row>
    <row r="460" spans="1:1" x14ac:dyDescent="0.2">
      <c r="A460" t="s">
        <v>551</v>
      </c>
    </row>
    <row r="461" spans="1:1" x14ac:dyDescent="0.2">
      <c r="A461" t="s">
        <v>552</v>
      </c>
    </row>
    <row r="462" spans="1:1" x14ac:dyDescent="0.2">
      <c r="A462" t="s">
        <v>553</v>
      </c>
    </row>
    <row r="463" spans="1:1" x14ac:dyDescent="0.2">
      <c r="A463" t="s">
        <v>554</v>
      </c>
    </row>
    <row r="464" spans="1:1" x14ac:dyDescent="0.2">
      <c r="A464" t="s">
        <v>555</v>
      </c>
    </row>
    <row r="465" spans="1:1" x14ac:dyDescent="0.2">
      <c r="A465" t="s">
        <v>357</v>
      </c>
    </row>
    <row r="466" spans="1:1" x14ac:dyDescent="0.2">
      <c r="A466" t="s">
        <v>44</v>
      </c>
    </row>
    <row r="467" spans="1:1" x14ac:dyDescent="0.2">
      <c r="A467" t="s">
        <v>48</v>
      </c>
    </row>
    <row r="468" spans="1:1" x14ac:dyDescent="0.2">
      <c r="A468" t="s">
        <v>67</v>
      </c>
    </row>
    <row r="469" spans="1:1" x14ac:dyDescent="0.2">
      <c r="A469" t="s">
        <v>93</v>
      </c>
    </row>
    <row r="470" spans="1:1" x14ac:dyDescent="0.2">
      <c r="A470" t="s">
        <v>115</v>
      </c>
    </row>
  </sheetData>
  <autoFilter ref="A1:A470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2017-11-11T10:53:58Z</dcterms:created>
  <dcterms:modified xsi:type="dcterms:W3CDTF">2017-11-17T04:38:41Z</dcterms:modified>
</cp:coreProperties>
</file>